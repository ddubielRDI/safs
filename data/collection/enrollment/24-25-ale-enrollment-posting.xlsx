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pportionment_NEW\Enrollment\Extracts\24-25\"/>
    </mc:Choice>
  </mc:AlternateContent>
  <xr:revisionPtr revIDLastSave="0" documentId="13_ncr:1_{5F08A7B4-399E-4051-BE1D-CE844AFE00B6}" xr6:coauthVersionLast="47" xr6:coauthVersionMax="47" xr10:uidLastSave="{00000000-0000-0000-0000-000000000000}"/>
  <bookViews>
    <workbookView xWindow="28680" yWindow="-120" windowWidth="29040" windowHeight="15720" xr2:uid="{FF8C035A-CB7E-4505-964C-758EBF7EEC81}"/>
  </bookViews>
  <sheets>
    <sheet name="Sheet1" sheetId="1" r:id="rId1"/>
  </sheets>
  <definedNames>
    <definedName name="_xlnm._FilterDatabase" localSheetId="0" hidden="1">Sheet1!$A$5:$Y$330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1" l="1"/>
  <c r="X66" i="1"/>
  <c r="X91" i="1"/>
  <c r="Y116" i="1"/>
  <c r="Y141" i="1"/>
  <c r="X148" i="1"/>
  <c r="X188" i="1"/>
  <c r="X198" i="1"/>
  <c r="Y27" i="1"/>
  <c r="Y45" i="1"/>
  <c r="X65" i="1"/>
  <c r="X67" i="1"/>
  <c r="X87" i="1"/>
  <c r="Y99" i="1"/>
  <c r="X114" i="1"/>
  <c r="X130" i="1"/>
  <c r="Y158" i="1"/>
  <c r="Y168" i="1"/>
  <c r="Y188" i="1"/>
  <c r="Y198" i="1"/>
  <c r="Y230" i="1"/>
  <c r="Y17" i="1"/>
  <c r="Y40" i="1"/>
  <c r="Y63" i="1"/>
  <c r="Y123" i="1"/>
  <c r="X158" i="1"/>
  <c r="Y173" i="1"/>
  <c r="X37" i="1"/>
  <c r="X70" i="1"/>
  <c r="X93" i="1"/>
  <c r="Y95" i="1"/>
  <c r="Y146" i="1"/>
  <c r="X163" i="1"/>
  <c r="Y178" i="1"/>
  <c r="Y209" i="1"/>
  <c r="X29" i="1"/>
  <c r="X49" i="1"/>
  <c r="Y91" i="1"/>
  <c r="X110" i="1"/>
  <c r="Y142" i="1"/>
  <c r="Y144" i="1"/>
  <c r="Y196" i="1"/>
  <c r="X301" i="1"/>
  <c r="Y285" i="1"/>
  <c r="Y215" i="1"/>
  <c r="Y128" i="1"/>
  <c r="Y112" i="1"/>
  <c r="X88" i="1"/>
  <c r="Y87" i="1"/>
  <c r="X86" i="1"/>
  <c r="Y75" i="1"/>
  <c r="X51" i="1"/>
  <c r="X48" i="1"/>
  <c r="X28" i="1"/>
  <c r="Y20" i="1"/>
  <c r="X16" i="1"/>
  <c r="X323" i="1"/>
  <c r="Y312" i="1"/>
  <c r="X216" i="1"/>
  <c r="X196" i="1"/>
  <c r="Y191" i="1"/>
  <c r="X182" i="1"/>
  <c r="Y152" i="1"/>
  <c r="Y151" i="1"/>
  <c r="Y138" i="1"/>
  <c r="X129" i="1"/>
  <c r="X113" i="1"/>
  <c r="X112" i="1"/>
  <c r="Y110" i="1"/>
  <c r="Y90" i="1"/>
  <c r="Y34" i="1"/>
  <c r="Y57" i="1"/>
  <c r="Y72" i="1"/>
  <c r="X77" i="1"/>
  <c r="X100" i="1"/>
  <c r="X126" i="1"/>
  <c r="Y149" i="1"/>
  <c r="Y154" i="1"/>
  <c r="X174" i="1"/>
  <c r="X179" i="1"/>
  <c r="Y184" i="1"/>
  <c r="Y257" i="1"/>
  <c r="V5" i="1"/>
  <c r="X26" i="1"/>
  <c r="X34" i="1"/>
  <c r="X57" i="1"/>
  <c r="Y84" i="1"/>
  <c r="Y102" i="1"/>
  <c r="X149" i="1"/>
  <c r="X164" i="1"/>
  <c r="X231" i="1"/>
  <c r="X316" i="1"/>
  <c r="X15" i="1"/>
  <c r="X31" i="1"/>
  <c r="X54" i="1"/>
  <c r="Y74" i="1"/>
  <c r="X124" i="1"/>
  <c r="Y159" i="1"/>
  <c r="Y66" i="1"/>
  <c r="Y79" i="1"/>
  <c r="Y197" i="1"/>
  <c r="Y210" i="1"/>
  <c r="X225" i="1"/>
  <c r="X232" i="1"/>
  <c r="X13" i="1"/>
  <c r="Y15" i="1"/>
  <c r="Y33" i="1"/>
  <c r="X36" i="1"/>
  <c r="Y51" i="1"/>
  <c r="Y56" i="1"/>
  <c r="Y61" i="1"/>
  <c r="Y124" i="1"/>
  <c r="Y150" i="1"/>
  <c r="Y172" i="1"/>
  <c r="X177" i="1"/>
  <c r="X211" i="1"/>
  <c r="Y306" i="1"/>
  <c r="X312" i="1"/>
  <c r="Y18" i="1"/>
  <c r="X40" i="1"/>
  <c r="X43" i="1"/>
  <c r="Y109" i="1"/>
  <c r="X138" i="1"/>
  <c r="Y157" i="1"/>
  <c r="X197" i="1"/>
  <c r="X295" i="1"/>
  <c r="X300" i="1"/>
  <c r="X12" i="1"/>
  <c r="W5" i="1"/>
  <c r="Y22" i="1"/>
  <c r="Y25" i="1"/>
  <c r="Y48" i="1"/>
  <c r="X69" i="1"/>
  <c r="Y71" i="1"/>
  <c r="Y88" i="1"/>
  <c r="Y94" i="1"/>
  <c r="Y96" i="1"/>
  <c r="X108" i="1"/>
  <c r="Y119" i="1"/>
  <c r="X120" i="1"/>
  <c r="Y161" i="1"/>
  <c r="Y162" i="1"/>
  <c r="Y179" i="1"/>
  <c r="Y208" i="1"/>
  <c r="Y301" i="1"/>
  <c r="Y304" i="1"/>
  <c r="X11" i="1"/>
  <c r="Y35" i="1"/>
  <c r="Y46" i="1"/>
  <c r="Y69" i="1"/>
  <c r="X74" i="1"/>
  <c r="Y81" i="1"/>
  <c r="X105" i="1"/>
  <c r="Y106" i="1"/>
  <c r="Y118" i="1"/>
  <c r="Y132" i="1"/>
  <c r="X143" i="1"/>
  <c r="X144" i="1"/>
  <c r="Y160" i="1"/>
  <c r="Y166" i="1"/>
  <c r="X175" i="1"/>
  <c r="X181" i="1"/>
  <c r="Y190" i="1"/>
  <c r="Y224" i="1"/>
  <c r="X234" i="1"/>
  <c r="Y243" i="1"/>
  <c r="Y299" i="1"/>
  <c r="Y329" i="1"/>
  <c r="K5" i="1"/>
  <c r="X30" i="1"/>
  <c r="Y31" i="1"/>
  <c r="X33" i="1"/>
  <c r="X72" i="1"/>
  <c r="X78" i="1"/>
  <c r="Y80" i="1"/>
  <c r="X102" i="1"/>
  <c r="X116" i="1"/>
  <c r="X118" i="1"/>
  <c r="X141" i="1"/>
  <c r="Y143" i="1"/>
  <c r="Y145" i="1"/>
  <c r="Y155" i="1"/>
  <c r="Y165" i="1"/>
  <c r="Y175" i="1"/>
  <c r="X199" i="1"/>
  <c r="Y261" i="1"/>
  <c r="Y286" i="1"/>
  <c r="Y288" i="1"/>
  <c r="X294" i="1"/>
  <c r="Y310" i="1"/>
  <c r="X318" i="1"/>
  <c r="Y30" i="1"/>
  <c r="Y32" i="1"/>
  <c r="Y49" i="1"/>
  <c r="Y53" i="1"/>
  <c r="Y62" i="1"/>
  <c r="Y76" i="1"/>
  <c r="X79" i="1"/>
  <c r="X117" i="1"/>
  <c r="X125" i="1"/>
  <c r="Y131" i="1"/>
  <c r="X159" i="1"/>
  <c r="Y174" i="1"/>
  <c r="X184" i="1"/>
  <c r="X194" i="1"/>
  <c r="X202" i="1"/>
  <c r="X203" i="1"/>
  <c r="Y220" i="1"/>
  <c r="Y253" i="1"/>
  <c r="X255" i="1"/>
  <c r="Y263" i="1"/>
  <c r="Y294" i="1"/>
  <c r="Y307" i="1"/>
  <c r="Y24" i="1"/>
  <c r="Y60" i="1"/>
  <c r="Y111" i="1"/>
  <c r="Y114" i="1"/>
  <c r="Y126" i="1"/>
  <c r="Y239" i="1"/>
  <c r="Y324" i="1"/>
  <c r="X32" i="1"/>
  <c r="X41" i="1"/>
  <c r="X45" i="1"/>
  <c r="X68" i="1"/>
  <c r="X73" i="1"/>
  <c r="Y133" i="1"/>
  <c r="Y134" i="1"/>
  <c r="Y135" i="1"/>
  <c r="X169" i="1"/>
  <c r="Y177" i="1"/>
  <c r="X186" i="1"/>
  <c r="Y201" i="1"/>
  <c r="Y203" i="1"/>
  <c r="X240" i="1"/>
  <c r="X262" i="1"/>
  <c r="X282" i="1"/>
  <c r="Y300" i="1"/>
  <c r="X328" i="1"/>
  <c r="Y11" i="1"/>
  <c r="Y10" i="1"/>
  <c r="Y315" i="1"/>
  <c r="X309" i="1"/>
  <c r="X302" i="1"/>
  <c r="X293" i="1"/>
  <c r="X291" i="1"/>
  <c r="Y275" i="1"/>
  <c r="X264" i="1"/>
  <c r="X263" i="1"/>
  <c r="X261" i="1"/>
  <c r="Y249" i="1"/>
  <c r="Y248" i="1"/>
  <c r="X235" i="1"/>
  <c r="X217" i="1"/>
  <c r="Y305" i="1"/>
  <c r="Y289" i="1"/>
  <c r="X283" i="1"/>
  <c r="Y277" i="1"/>
  <c r="X267" i="1"/>
  <c r="Y264" i="1"/>
  <c r="Y244" i="1"/>
  <c r="Y14" i="1"/>
  <c r="Y16" i="1"/>
  <c r="Y21" i="1"/>
  <c r="Y39" i="1"/>
  <c r="Y52" i="1"/>
  <c r="Y55" i="1"/>
  <c r="Y93" i="1"/>
  <c r="X94" i="1"/>
  <c r="X107" i="1"/>
  <c r="Y115" i="1"/>
  <c r="X121" i="1"/>
  <c r="X136" i="1"/>
  <c r="X166" i="1"/>
  <c r="Y181" i="1"/>
  <c r="Y199" i="1"/>
  <c r="Y200" i="1"/>
  <c r="Y206" i="1"/>
  <c r="Y218" i="1"/>
  <c r="X227" i="1"/>
  <c r="X288" i="1"/>
  <c r="Y291" i="1"/>
  <c r="X8" i="1"/>
  <c r="J5" i="1"/>
  <c r="X19" i="1"/>
  <c r="X22" i="1"/>
  <c r="X42" i="1"/>
  <c r="Y83" i="1"/>
  <c r="X84" i="1"/>
  <c r="Y108" i="1"/>
  <c r="X109" i="1"/>
  <c r="Y122" i="1"/>
  <c r="X123" i="1"/>
  <c r="X139" i="1"/>
  <c r="U5" i="1"/>
  <c r="Y12" i="1"/>
  <c r="Y13" i="1"/>
  <c r="Y19" i="1"/>
  <c r="Y28" i="1"/>
  <c r="Y37" i="1"/>
  <c r="Y38" i="1"/>
  <c r="Y47" i="1"/>
  <c r="Y58" i="1"/>
  <c r="Y68" i="1"/>
  <c r="Y73" i="1"/>
  <c r="Y82" i="1"/>
  <c r="X90" i="1"/>
  <c r="X92" i="1"/>
  <c r="Y100" i="1"/>
  <c r="Y104" i="1"/>
  <c r="X128" i="1"/>
  <c r="Y139" i="1"/>
  <c r="Y140" i="1"/>
  <c r="Y156" i="1"/>
  <c r="Y169" i="1"/>
  <c r="X185" i="1"/>
  <c r="Y221" i="1"/>
  <c r="Y227" i="1"/>
  <c r="Y232" i="1"/>
  <c r="Y262" i="1"/>
  <c r="Y282" i="1"/>
  <c r="Y293" i="1"/>
  <c r="X304" i="1"/>
  <c r="X315" i="1"/>
  <c r="X310" i="1"/>
  <c r="X321" i="1"/>
  <c r="Y330" i="1"/>
  <c r="X324" i="1"/>
  <c r="Y323" i="1"/>
  <c r="Y317" i="1"/>
  <c r="Y309" i="1"/>
  <c r="Y295" i="1"/>
  <c r="X281" i="1"/>
  <c r="Y278" i="1"/>
  <c r="X271" i="1"/>
  <c r="Y268" i="1"/>
  <c r="Y319" i="1"/>
  <c r="X308" i="1"/>
  <c r="X280" i="1"/>
  <c r="Y276" i="1"/>
  <c r="Y258" i="1"/>
  <c r="X303" i="1"/>
  <c r="Y274" i="1"/>
  <c r="Y273" i="1"/>
  <c r="X258" i="1"/>
  <c r="X249" i="1"/>
  <c r="Y247" i="1"/>
  <c r="X238" i="1"/>
  <c r="Y231" i="1"/>
  <c r="X222" i="1"/>
  <c r="Y214" i="1"/>
  <c r="Y327" i="1"/>
  <c r="X326" i="1"/>
  <c r="X317" i="1"/>
  <c r="Y316" i="1"/>
  <c r="Y279" i="1"/>
  <c r="X268" i="1"/>
  <c r="Y265" i="1"/>
  <c r="Y254" i="1"/>
  <c r="Y250" i="1"/>
  <c r="X247" i="1"/>
  <c r="Y246" i="1"/>
  <c r="Y240" i="1"/>
  <c r="Y226" i="1"/>
  <c r="X218" i="1"/>
  <c r="X205" i="1"/>
  <c r="X195" i="1"/>
  <c r="Y187" i="1"/>
  <c r="Y186" i="1"/>
  <c r="Y180" i="1"/>
  <c r="X178" i="1"/>
  <c r="X172" i="1"/>
  <c r="X322" i="1"/>
  <c r="Y280" i="1"/>
  <c r="Y266" i="1"/>
  <c r="Y259" i="1"/>
  <c r="X248" i="1"/>
  <c r="X246" i="1"/>
  <c r="X245" i="1"/>
  <c r="X226" i="1"/>
  <c r="Y216" i="1"/>
  <c r="X210" i="1"/>
  <c r="X209" i="1"/>
  <c r="X208" i="1"/>
  <c r="Y207" i="1"/>
  <c r="Y202" i="1"/>
  <c r="Y195" i="1"/>
  <c r="Y192" i="1"/>
  <c r="X187" i="1"/>
  <c r="Y185" i="1"/>
  <c r="Y183" i="1"/>
  <c r="Y176" i="1"/>
  <c r="X161" i="1"/>
  <c r="Y147" i="1"/>
  <c r="Y136" i="1"/>
  <c r="Y130" i="1"/>
  <c r="X115" i="1"/>
  <c r="Y113" i="1"/>
  <c r="Y101" i="1"/>
  <c r="Y98" i="1"/>
  <c r="Y92" i="1"/>
  <c r="Y89" i="1"/>
  <c r="Y86" i="1"/>
  <c r="Y85" i="1"/>
  <c r="X9" i="1"/>
  <c r="T5" i="1"/>
  <c r="X10" i="1"/>
  <c r="X17" i="1"/>
  <c r="X35" i="1"/>
  <c r="X38" i="1"/>
  <c r="X50" i="1"/>
  <c r="X53" i="1"/>
  <c r="X82" i="1"/>
  <c r="Y97" i="1"/>
  <c r="Y103" i="1"/>
  <c r="Y120" i="1"/>
  <c r="Y121" i="1"/>
  <c r="X122" i="1"/>
  <c r="X127" i="1"/>
  <c r="X137" i="1"/>
  <c r="X140" i="1"/>
  <c r="Y148" i="1"/>
  <c r="X156" i="1"/>
  <c r="X157" i="1"/>
  <c r="Y167" i="1"/>
  <c r="Y189" i="1"/>
  <c r="Y194" i="1"/>
  <c r="X200" i="1"/>
  <c r="Y204" i="1"/>
  <c r="Y205" i="1"/>
  <c r="X223" i="1"/>
  <c r="Y234" i="1"/>
  <c r="Y235" i="1"/>
  <c r="Y236" i="1"/>
  <c r="X256" i="1"/>
  <c r="Y260" i="1"/>
  <c r="Y272" i="1"/>
  <c r="X285" i="1"/>
  <c r="Y287" i="1"/>
  <c r="Y44" i="1"/>
  <c r="Y50" i="1"/>
  <c r="Y59" i="1"/>
  <c r="X89" i="1"/>
  <c r="X103" i="1"/>
  <c r="Y117" i="1"/>
  <c r="Y127" i="1"/>
  <c r="Y137" i="1"/>
  <c r="X146" i="1"/>
  <c r="X160" i="1"/>
  <c r="X165" i="1"/>
  <c r="X171" i="1"/>
  <c r="Y182" i="1"/>
  <c r="Y193" i="1"/>
  <c r="X201" i="1"/>
  <c r="Y212" i="1"/>
  <c r="Y213" i="1"/>
  <c r="Y223" i="1"/>
  <c r="Y251" i="1"/>
  <c r="Y255" i="1"/>
  <c r="Y256" i="1"/>
  <c r="Y281" i="1"/>
  <c r="Y292" i="1"/>
  <c r="X307" i="1"/>
  <c r="Y326" i="1"/>
  <c r="Y325" i="1"/>
  <c r="Y320" i="1"/>
  <c r="Y314" i="1"/>
  <c r="Y313" i="1"/>
  <c r="Y308" i="1"/>
  <c r="Y298" i="1"/>
  <c r="Y297" i="1"/>
  <c r="Y296" i="1"/>
  <c r="Y290" i="1"/>
  <c r="X325" i="1"/>
  <c r="Y321" i="1"/>
  <c r="X319" i="1"/>
  <c r="X306" i="1"/>
  <c r="X287" i="1"/>
  <c r="X286" i="1"/>
  <c r="X279" i="1"/>
  <c r="X278" i="1"/>
  <c r="X269" i="1"/>
  <c r="X266" i="1"/>
  <c r="X260" i="1"/>
  <c r="X257" i="1"/>
  <c r="X242" i="1"/>
  <c r="X239" i="1"/>
  <c r="Y328" i="1"/>
  <c r="X327" i="1"/>
  <c r="Y318" i="1"/>
  <c r="X284" i="1"/>
  <c r="Y283" i="1"/>
  <c r="X270" i="1"/>
  <c r="Y269" i="1"/>
  <c r="Y267" i="1"/>
  <c r="X244" i="1"/>
  <c r="Y233" i="1"/>
  <c r="X221" i="1"/>
  <c r="X173" i="1"/>
  <c r="X151" i="1"/>
  <c r="X292" i="1"/>
  <c r="X76" i="1"/>
  <c r="X64" i="1"/>
  <c r="X145" i="1"/>
  <c r="X142" i="1"/>
  <c r="X56" i="1"/>
  <c r="X71" i="1"/>
  <c r="X219" i="1"/>
  <c r="X224" i="1"/>
  <c r="X305" i="1"/>
  <c r="X7" i="1"/>
  <c r="X55" i="1"/>
  <c r="X58" i="1"/>
  <c r="X14" i="1"/>
  <c r="X21" i="1"/>
  <c r="X204" i="1"/>
  <c r="X207" i="1"/>
  <c r="X52" i="1"/>
  <c r="X85" i="1"/>
  <c r="X106" i="1"/>
  <c r="X241" i="1"/>
  <c r="X265" i="1"/>
  <c r="X277" i="1"/>
  <c r="X220" i="1"/>
  <c r="X259" i="1"/>
  <c r="X104" i="1"/>
  <c r="X180" i="1"/>
  <c r="X183" i="1"/>
  <c r="X243" i="1"/>
  <c r="X299" i="1"/>
  <c r="X18" i="1"/>
  <c r="X150" i="1"/>
  <c r="X162" i="1"/>
  <c r="X101" i="1"/>
  <c r="X233" i="1"/>
  <c r="X6" i="1"/>
  <c r="Y322" i="1"/>
  <c r="Y242" i="1"/>
  <c r="Y241" i="1"/>
  <c r="Y23" i="1"/>
  <c r="Y303" i="1"/>
  <c r="Y171" i="1"/>
  <c r="Y170" i="1"/>
  <c r="Y229" i="1"/>
  <c r="Y228" i="1"/>
  <c r="Y43" i="1"/>
  <c r="Y42" i="1"/>
  <c r="Y164" i="1"/>
  <c r="Y163" i="1"/>
  <c r="Y271" i="1"/>
  <c r="Y270" i="1"/>
  <c r="Y252" i="1"/>
  <c r="Y8" i="1"/>
  <c r="Y65" i="1"/>
  <c r="Y153" i="1"/>
  <c r="Y7" i="1"/>
  <c r="Y64" i="1"/>
  <c r="Y54" i="1"/>
  <c r="Y29" i="1"/>
  <c r="Y41" i="1"/>
  <c r="Y67" i="1"/>
  <c r="Y26" i="1"/>
  <c r="Y284" i="1"/>
  <c r="Y125" i="1"/>
  <c r="Y107" i="1"/>
  <c r="Y105" i="1"/>
  <c r="Y9" i="1"/>
  <c r="Y219" i="1"/>
  <c r="Y222" i="1"/>
  <c r="Y238" i="1"/>
  <c r="Y237" i="1"/>
  <c r="Y70" i="1"/>
  <c r="Y6" i="1"/>
  <c r="Y217" i="1"/>
  <c r="Y302" i="1"/>
  <c r="Y36" i="1"/>
  <c r="Y129" i="1"/>
  <c r="Y78" i="1"/>
  <c r="Y77" i="1"/>
  <c r="Y211" i="1"/>
  <c r="Y245" i="1"/>
  <c r="Y225" i="1"/>
  <c r="I5" i="1"/>
  <c r="X275" i="1" l="1"/>
  <c r="X273" i="1"/>
  <c r="X135" i="1"/>
  <c r="X311" i="1"/>
  <c r="X313" i="1"/>
  <c r="X213" i="1"/>
  <c r="X133" i="1"/>
  <c r="X46" i="1"/>
  <c r="X190" i="1"/>
  <c r="X97" i="1"/>
  <c r="X152" i="1"/>
  <c r="X80" i="1"/>
  <c r="X296" i="1"/>
  <c r="X191" i="1"/>
  <c r="X230" i="1"/>
  <c r="X314" i="1"/>
  <c r="X276" i="1"/>
  <c r="X39" i="1"/>
  <c r="X99" i="1"/>
  <c r="X155" i="1"/>
  <c r="X215" i="1"/>
  <c r="X298" i="1"/>
  <c r="X131" i="1"/>
  <c r="X111" i="1"/>
  <c r="X330" i="1"/>
  <c r="X212" i="1"/>
  <c r="X206" i="1"/>
  <c r="X63" i="1"/>
  <c r="X60" i="1"/>
  <c r="X251" i="1"/>
  <c r="X98" i="1"/>
  <c r="X290" i="1"/>
  <c r="X134" i="1"/>
  <c r="X95" i="1"/>
  <c r="X250" i="1"/>
  <c r="X254" i="1"/>
  <c r="X153" i="1"/>
  <c r="X96" i="1"/>
  <c r="X25" i="1"/>
  <c r="X289" i="1"/>
  <c r="X168" i="1"/>
  <c r="X214" i="1"/>
  <c r="X192" i="1"/>
  <c r="X193" i="1"/>
  <c r="X147" i="1"/>
  <c r="X274" i="1"/>
  <c r="X61" i="1"/>
  <c r="X297" i="1"/>
  <c r="X237" i="1"/>
  <c r="X44" i="1"/>
  <c r="X132" i="1"/>
  <c r="X252" i="1"/>
  <c r="X320" i="1"/>
  <c r="X75" i="1"/>
  <c r="X236" i="1"/>
  <c r="X189" i="1"/>
  <c r="X27" i="1"/>
  <c r="X62" i="1"/>
  <c r="X170" i="1"/>
  <c r="X228" i="1"/>
  <c r="X272" i="1"/>
  <c r="X24" i="1"/>
  <c r="X83" i="1"/>
  <c r="X253" i="1"/>
  <c r="X154" i="1"/>
  <c r="X229" i="1"/>
  <c r="X176" i="1"/>
  <c r="H5" i="1"/>
  <c r="X329" i="1"/>
  <c r="X167" i="1"/>
  <c r="X23" i="1"/>
  <c r="X81" i="1"/>
  <c r="X59" i="1"/>
  <c r="X47" i="1"/>
  <c r="X119" i="1"/>
  <c r="O5" i="1"/>
  <c r="Q5" i="1"/>
  <c r="M5" i="1"/>
  <c r="L5" i="1"/>
  <c r="N5" i="1"/>
  <c r="P5" i="1"/>
  <c r="F5" i="1"/>
  <c r="R5" i="1"/>
  <c r="G5" i="1"/>
  <c r="S5" i="1"/>
  <c r="Y311" i="1"/>
  <c r="E5" i="1"/>
  <c r="D5" i="1"/>
  <c r="X5" i="1" l="1"/>
  <c r="Y5" i="1"/>
</calcChain>
</file>

<file path=xl/sharedStrings.xml><?xml version="1.0" encoding="utf-8"?>
<sst xmlns="http://schemas.openxmlformats.org/spreadsheetml/2006/main" count="1014" uniqueCount="699">
  <si>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</si>
  <si>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</si>
  <si>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</si>
  <si>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</si>
  <si>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</si>
  <si>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</si>
  <si>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</si>
  <si>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</si>
  <si>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CCDDD</t>
  </si>
  <si>
    <t>Reporting District</t>
  </si>
  <si>
    <t>Program</t>
  </si>
  <si>
    <t>01109</t>
  </si>
  <si>
    <t>Washtucna</t>
  </si>
  <si>
    <t>NEW ALE PROGRAM</t>
  </si>
  <si>
    <t>01147</t>
  </si>
  <si>
    <t>Othello</t>
  </si>
  <si>
    <t>On-Line Othello</t>
  </si>
  <si>
    <t>American Academy</t>
  </si>
  <si>
    <t>Lind Ritzville Academy</t>
  </si>
  <si>
    <t>Discovery Virtual School</t>
  </si>
  <si>
    <t>The Educational Opportunity Center</t>
  </si>
  <si>
    <t>Mid-Columbia Parent Partnership</t>
  </si>
  <si>
    <t>Off Campus Learning</t>
  </si>
  <si>
    <t>03053</t>
  </si>
  <si>
    <t>Finley</t>
  </si>
  <si>
    <t>FINLEY SCHOOL DISTRICT</t>
  </si>
  <si>
    <t>03116</t>
  </si>
  <si>
    <t>Prosser</t>
  </si>
  <si>
    <t>Prosser High School ALE</t>
  </si>
  <si>
    <t>03400</t>
  </si>
  <si>
    <t>Richland</t>
  </si>
  <si>
    <t>Contract Learning</t>
  </si>
  <si>
    <t>Pacific Crest Online Academy</t>
  </si>
  <si>
    <t>Three Rivers Home Link</t>
  </si>
  <si>
    <t>04129</t>
  </si>
  <si>
    <t>Lake Chelan</t>
  </si>
  <si>
    <t>Chelan Digital Academy</t>
  </si>
  <si>
    <t>04228</t>
  </si>
  <si>
    <t>Cascade</t>
  </si>
  <si>
    <t>Cascade Home-Link</t>
  </si>
  <si>
    <t>Kodiak Virtual Academy</t>
  </si>
  <si>
    <t>04246</t>
  </si>
  <si>
    <t>Wenatchee</t>
  </si>
  <si>
    <t>Skills Source</t>
  </si>
  <si>
    <t>Valley Academy</t>
  </si>
  <si>
    <t>Valley Online Academy</t>
  </si>
  <si>
    <t>Westside High School Alternative Learning Programs</t>
  </si>
  <si>
    <t>05121</t>
  </si>
  <si>
    <t>Port Angeles</t>
  </si>
  <si>
    <t>Seaview Academy Online School</t>
  </si>
  <si>
    <t>05313</t>
  </si>
  <si>
    <t>Crescent</t>
  </si>
  <si>
    <t>Olympic Peninsula HomeConnection</t>
  </si>
  <si>
    <t>05323</t>
  </si>
  <si>
    <t>Sequim</t>
  </si>
  <si>
    <t>Dungeness Virtual School</t>
  </si>
  <si>
    <t>Olympic Peninsula Academy</t>
  </si>
  <si>
    <t>05402</t>
  </si>
  <si>
    <t>Quillayute Valley</t>
  </si>
  <si>
    <t>Home School Plus</t>
  </si>
  <si>
    <t>Insight School of Washington</t>
  </si>
  <si>
    <t>Vancouver Home Connection</t>
  </si>
  <si>
    <t>Vancouver Success Academy</t>
  </si>
  <si>
    <t>Vancouver Virtual Learning Academy</t>
  </si>
  <si>
    <t>06098</t>
  </si>
  <si>
    <t>Hockinson</t>
  </si>
  <si>
    <t>Hockinson High School ALE</t>
  </si>
  <si>
    <t xml:space="preserve">Hockinson Middle School ALE </t>
  </si>
  <si>
    <t>06101</t>
  </si>
  <si>
    <t>Lacenter</t>
  </si>
  <si>
    <t>La Center Home School Academy</t>
  </si>
  <si>
    <t>06112</t>
  </si>
  <si>
    <t>Washougal</t>
  </si>
  <si>
    <t>Graduation Alliance ALE</t>
  </si>
  <si>
    <t>Washougal High School ALE</t>
  </si>
  <si>
    <t>Washougal Learning Academy</t>
  </si>
  <si>
    <t>06114</t>
  </si>
  <si>
    <t>Evergreen (Clark)</t>
  </si>
  <si>
    <t>Home Choice Academy</t>
  </si>
  <si>
    <t>Legacy High School</t>
  </si>
  <si>
    <t>06117</t>
  </si>
  <si>
    <t>Camas</t>
  </si>
  <si>
    <t>CCA</t>
  </si>
  <si>
    <t>Grad Alliance</t>
  </si>
  <si>
    <t>06119</t>
  </si>
  <si>
    <t>Battle Ground</t>
  </si>
  <si>
    <t>Battle Ground Virtual Academy</t>
  </si>
  <si>
    <t xml:space="preserve">CAM </t>
  </si>
  <si>
    <t>River</t>
  </si>
  <si>
    <t>Summit View High School</t>
  </si>
  <si>
    <t>06122</t>
  </si>
  <si>
    <t>Ridgefield</t>
  </si>
  <si>
    <t>Ridgefield Alternative Learning Program</t>
  </si>
  <si>
    <t>07035</t>
  </si>
  <si>
    <t>Starbuck</t>
  </si>
  <si>
    <t>Virtual Prep Academy of Washington</t>
  </si>
  <si>
    <t>08122</t>
  </si>
  <si>
    <t>Longview</t>
  </si>
  <si>
    <t>Discovery High School</t>
  </si>
  <si>
    <t>Longview Virtual Academy</t>
  </si>
  <si>
    <t>Toutle Lake Virtual High School</t>
  </si>
  <si>
    <t>08401</t>
  </si>
  <si>
    <t>Castle Rock</t>
  </si>
  <si>
    <t>PLO</t>
  </si>
  <si>
    <t>08402</t>
  </si>
  <si>
    <t>Kalama</t>
  </si>
  <si>
    <t>Kalama High School ALE</t>
  </si>
  <si>
    <t>08404</t>
  </si>
  <si>
    <t>Woodland</t>
  </si>
  <si>
    <t>Lewis River Academy - K-12</t>
  </si>
  <si>
    <t>TEAM High School</t>
  </si>
  <si>
    <t>08458</t>
  </si>
  <si>
    <t>Kelso</t>
  </si>
  <si>
    <t>Kelso Virtual Academy</t>
  </si>
  <si>
    <t>09075</t>
  </si>
  <si>
    <t>Bridgeport</t>
  </si>
  <si>
    <t>09206</t>
  </si>
  <si>
    <t>Eastmont</t>
  </si>
  <si>
    <t>Opportunities Program</t>
  </si>
  <si>
    <t>10050</t>
  </si>
  <si>
    <t>Curlew</t>
  </si>
  <si>
    <t>Contract Studies</t>
  </si>
  <si>
    <t>10309</t>
  </si>
  <si>
    <t>Republic</t>
  </si>
  <si>
    <t>PPP</t>
  </si>
  <si>
    <t>11001</t>
  </si>
  <si>
    <t>Pasco</t>
  </si>
  <si>
    <t>Pasco Academy of Learning</t>
  </si>
  <si>
    <t>11051</t>
  </si>
  <si>
    <t>North Franklin</t>
  </si>
  <si>
    <t>North Franklin Virtual Academy</t>
  </si>
  <si>
    <t>13073</t>
  </si>
  <si>
    <t>Wahluke</t>
  </si>
  <si>
    <t>Sentinel Tech Alt School</t>
  </si>
  <si>
    <t>13144</t>
  </si>
  <si>
    <t>Quincy</t>
  </si>
  <si>
    <t>High Tech High</t>
  </si>
  <si>
    <t>13156</t>
  </si>
  <si>
    <t>Soap Lake</t>
  </si>
  <si>
    <t>SLSD Pathways Learning</t>
  </si>
  <si>
    <t>13161</t>
  </si>
  <si>
    <t>Moses Lake</t>
  </si>
  <si>
    <t>MLSD Digital ALE</t>
  </si>
  <si>
    <t>13165</t>
  </si>
  <si>
    <t>Ephrata</t>
  </si>
  <si>
    <t>EHS Learning Center ALE</t>
  </si>
  <si>
    <t>Ephrata Middle School ALE</t>
  </si>
  <si>
    <t>13301</t>
  </si>
  <si>
    <t>Grand Coulee Dam</t>
  </si>
  <si>
    <t>Alternative Learning Experience</t>
  </si>
  <si>
    <t>14005</t>
  </si>
  <si>
    <t>Aberdeen</t>
  </si>
  <si>
    <t>Grays Harbor Academy</t>
  </si>
  <si>
    <t>14028</t>
  </si>
  <si>
    <t>Hoquiam</t>
  </si>
  <si>
    <t>Homelink</t>
  </si>
  <si>
    <t>14064</t>
  </si>
  <si>
    <t>North Beach</t>
  </si>
  <si>
    <t>North Beach Online</t>
  </si>
  <si>
    <t>14068</t>
  </si>
  <si>
    <t>Elma</t>
  </si>
  <si>
    <t>Eagle Virtual Sky Academy</t>
  </si>
  <si>
    <t>East Grays Harbor High School Digital/Online</t>
  </si>
  <si>
    <t>East Grays Harbor HS Contract Based Learning</t>
  </si>
  <si>
    <t>14097</t>
  </si>
  <si>
    <t>Quinault</t>
  </si>
  <si>
    <t>Alternative Graduation Pathway</t>
  </si>
  <si>
    <t>14172</t>
  </si>
  <si>
    <t>Ocosta</t>
  </si>
  <si>
    <t>Ocosta ALE</t>
  </si>
  <si>
    <t>14400</t>
  </si>
  <si>
    <t>Oakville</t>
  </si>
  <si>
    <t>OAKVILLE HOMELINK</t>
  </si>
  <si>
    <t>15201</t>
  </si>
  <si>
    <t>Oak Harbor</t>
  </si>
  <si>
    <t xml:space="preserve">HomeConnection </t>
  </si>
  <si>
    <t>OHHS ALE</t>
  </si>
  <si>
    <t>Coupeville Middle School ALE</t>
  </si>
  <si>
    <t>Coupeville Open Academy ALE</t>
  </si>
  <si>
    <t>15206</t>
  </si>
  <si>
    <t>South Whidbey</t>
  </si>
  <si>
    <t>SWSD ALE</t>
  </si>
  <si>
    <t>16048</t>
  </si>
  <si>
    <t>Quilcene</t>
  </si>
  <si>
    <t>P.E.A.R.L.</t>
  </si>
  <si>
    <t>16049</t>
  </si>
  <si>
    <t>Chimacum</t>
  </si>
  <si>
    <t>PI Program</t>
  </si>
  <si>
    <t>16050</t>
  </si>
  <si>
    <t>Port Townsend</t>
  </si>
  <si>
    <t>OCEAN</t>
  </si>
  <si>
    <t>17001</t>
  </si>
  <si>
    <t>Seattle</t>
  </si>
  <si>
    <t>Cascade Parent Partnership Program</t>
  </si>
  <si>
    <t>Interagency Programs</t>
  </si>
  <si>
    <t>Nova High School</t>
  </si>
  <si>
    <t>17210</t>
  </si>
  <si>
    <t>Federal Way</t>
  </si>
  <si>
    <t>Internet Academy</t>
  </si>
  <si>
    <t>Mercer Island High School</t>
  </si>
  <si>
    <t>Highline Interim Placement Program</t>
  </si>
  <si>
    <t>Highline Virtual Academy</t>
  </si>
  <si>
    <t>Highline Virtual Elementary</t>
  </si>
  <si>
    <t>Innovation Heights Academy</t>
  </si>
  <si>
    <t>17402</t>
  </si>
  <si>
    <t>Vashon Island</t>
  </si>
  <si>
    <t>Family Link</t>
  </si>
  <si>
    <t>Student Link</t>
  </si>
  <si>
    <t>17403</t>
  </si>
  <si>
    <t>Renton</t>
  </si>
  <si>
    <t>Home Program</t>
  </si>
  <si>
    <t>Virtual Academy</t>
  </si>
  <si>
    <t>ALE</t>
  </si>
  <si>
    <t>ALE - Rise</t>
  </si>
  <si>
    <t>Bellevue Digital Discovery</t>
  </si>
  <si>
    <t>Graduation Alliance</t>
  </si>
  <si>
    <t>17407</t>
  </si>
  <si>
    <t>Riverview</t>
  </si>
  <si>
    <t>CLIP</t>
  </si>
  <si>
    <t>PARADE</t>
  </si>
  <si>
    <t>17408</t>
  </si>
  <si>
    <t>Auburn</t>
  </si>
  <si>
    <t xml:space="preserve">Auburn Will Graduate </t>
  </si>
  <si>
    <t>West Auburn ALE</t>
  </si>
  <si>
    <t>17410</t>
  </si>
  <si>
    <t>Snoqualmie Valley</t>
  </si>
  <si>
    <t>ALE ONLINE PROGRAM</t>
  </si>
  <si>
    <t>17411</t>
  </si>
  <si>
    <t>Issaquah</t>
  </si>
  <si>
    <t>Beaver Lake Online Learning</t>
  </si>
  <si>
    <t>Gibson Ek HS Online Learning</t>
  </si>
  <si>
    <t>Issaquah HS Online Learning</t>
  </si>
  <si>
    <t>Issaquah MS Online Learning</t>
  </si>
  <si>
    <t>Liberty HS Online Learning</t>
  </si>
  <si>
    <t>Pacific Cascade MS</t>
  </si>
  <si>
    <t>Pine Lake MS Online Learning</t>
  </si>
  <si>
    <t>Skyline HS Online Learning</t>
  </si>
  <si>
    <t>17412</t>
  </si>
  <si>
    <t>Shoreline</t>
  </si>
  <si>
    <t>Home Education Exchange</t>
  </si>
  <si>
    <t>17414</t>
  </si>
  <si>
    <t>Lake Washington</t>
  </si>
  <si>
    <t>Emerson K-12</t>
  </si>
  <si>
    <t>ONLINE</t>
  </si>
  <si>
    <t>17415</t>
  </si>
  <si>
    <t>Kent</t>
  </si>
  <si>
    <t>Kent Laboratory Academy ALE</t>
  </si>
  <si>
    <t>Kent SD CTE Online ALE Programs</t>
  </si>
  <si>
    <t>Kent Virtual Academy</t>
  </si>
  <si>
    <t>17417</t>
  </si>
  <si>
    <t>Northshore</t>
  </si>
  <si>
    <t>Northshore Learning Options</t>
  </si>
  <si>
    <t>17902</t>
  </si>
  <si>
    <t>Summit Sierra Charter</t>
  </si>
  <si>
    <t>17905</t>
  </si>
  <si>
    <t>Summit Atlas Charter</t>
  </si>
  <si>
    <t>18100</t>
  </si>
  <si>
    <t>Bremerton</t>
  </si>
  <si>
    <t>Home Link</t>
  </si>
  <si>
    <t>On-line Options</t>
  </si>
  <si>
    <t>Renaissance Alternative High School</t>
  </si>
  <si>
    <t>18303</t>
  </si>
  <si>
    <t>Bainbridge</t>
  </si>
  <si>
    <t>Eagle Harbor High School</t>
  </si>
  <si>
    <t>Mosaic Home Education Partnership</t>
  </si>
  <si>
    <t>18400</t>
  </si>
  <si>
    <t>North Kitsap</t>
  </si>
  <si>
    <t>Parent Alternative Learning</t>
  </si>
  <si>
    <t>18401</t>
  </si>
  <si>
    <t>Central Kitsap</t>
  </si>
  <si>
    <t>Alt Career Choice</t>
  </si>
  <si>
    <t>18402</t>
  </si>
  <si>
    <t>South Kitsap</t>
  </si>
  <si>
    <t>Discovery Alternative High School</t>
  </si>
  <si>
    <t>Explorer Academy</t>
  </si>
  <si>
    <t>19401</t>
  </si>
  <si>
    <t>Ellensburg</t>
  </si>
  <si>
    <t>Parent Partner Program</t>
  </si>
  <si>
    <t>19404</t>
  </si>
  <si>
    <t>Cle Elum-Roslyn</t>
  </si>
  <si>
    <t>Swiftwater Alternative High School</t>
  </si>
  <si>
    <t>Washington Connections Academy Goldendale (WACA-G)</t>
  </si>
  <si>
    <t>20405</t>
  </si>
  <si>
    <t>White Salmon</t>
  </si>
  <si>
    <t>White Salmon Academy (5077)</t>
  </si>
  <si>
    <t>21206</t>
  </si>
  <si>
    <t>Mossyrock</t>
  </si>
  <si>
    <t>Mossyrock Academy</t>
  </si>
  <si>
    <t>21214</t>
  </si>
  <si>
    <t>Morton</t>
  </si>
  <si>
    <t>21232</t>
  </si>
  <si>
    <t>Winlock</t>
  </si>
  <si>
    <t>Winlock Middle &amp; High School ALE</t>
  </si>
  <si>
    <t>21234</t>
  </si>
  <si>
    <t>Boistfort</t>
  </si>
  <si>
    <t xml:space="preserve">Boistfort online school </t>
  </si>
  <si>
    <t>21237</t>
  </si>
  <si>
    <t>Toledo</t>
  </si>
  <si>
    <t>Cowlitz Prairie Academy</t>
  </si>
  <si>
    <t>21300</t>
  </si>
  <si>
    <t>Onalaska</t>
  </si>
  <si>
    <t>AXE</t>
  </si>
  <si>
    <t>Lewis County Alternative School</t>
  </si>
  <si>
    <t>21303</t>
  </si>
  <si>
    <t>White Pass</t>
  </si>
  <si>
    <t>White Pass Learning Academy</t>
  </si>
  <si>
    <t>21401</t>
  </si>
  <si>
    <t>Centralia</t>
  </si>
  <si>
    <t>Futurus High School</t>
  </si>
  <si>
    <t>22009</t>
  </si>
  <si>
    <t>Reardan</t>
  </si>
  <si>
    <t>Options Program</t>
  </si>
  <si>
    <t>22207</t>
  </si>
  <si>
    <t>Davenport</t>
  </si>
  <si>
    <t>Davenport Alternative Learning</t>
  </si>
  <si>
    <t>23309</t>
  </si>
  <si>
    <t>Shelton</t>
  </si>
  <si>
    <t>CHOICE ALE Program</t>
  </si>
  <si>
    <t>23311</t>
  </si>
  <si>
    <t>Mary M Knight</t>
  </si>
  <si>
    <t>Washington Connections Academy</t>
  </si>
  <si>
    <t>23403</t>
  </si>
  <si>
    <t>North Mason</t>
  </si>
  <si>
    <t>James A. Taylor High School</t>
  </si>
  <si>
    <t>North Mason HomeLink Program</t>
  </si>
  <si>
    <t>24014</t>
  </si>
  <si>
    <t>Nespelem</t>
  </si>
  <si>
    <t>24019</t>
  </si>
  <si>
    <t>Omak</t>
  </si>
  <si>
    <t>Highlands</t>
  </si>
  <si>
    <t>Washington Virtual Academies Omak</t>
  </si>
  <si>
    <t>24105</t>
  </si>
  <si>
    <t>Okanogan</t>
  </si>
  <si>
    <t>Okanogan Alternative High School</t>
  </si>
  <si>
    <t>Okanogan Outreach Alternative School</t>
  </si>
  <si>
    <t>24111</t>
  </si>
  <si>
    <t>Brewster</t>
  </si>
  <si>
    <t>Brewster ALE Program</t>
  </si>
  <si>
    <t>24122</t>
  </si>
  <si>
    <t>Pateros</t>
  </si>
  <si>
    <t>Pateros Alternative School</t>
  </si>
  <si>
    <t>24350</t>
  </si>
  <si>
    <t>Methow Valley</t>
  </si>
  <si>
    <t>Alernative Learning Experience - Home School</t>
  </si>
  <si>
    <t>24404</t>
  </si>
  <si>
    <t>Tonasket</t>
  </si>
  <si>
    <t>Tonasket Outreach School</t>
  </si>
  <si>
    <t>24410</t>
  </si>
  <si>
    <t>Oroville</t>
  </si>
  <si>
    <t>CREDIT RECOVERY PROGRAM</t>
  </si>
  <si>
    <t>25101</t>
  </si>
  <si>
    <t>Ocean Beach</t>
  </si>
  <si>
    <t>Learning Options Center</t>
  </si>
  <si>
    <t>Ocean Beach Alternative School</t>
  </si>
  <si>
    <t>25118</t>
  </si>
  <si>
    <t>South Bend</t>
  </si>
  <si>
    <t>Astravo Online Academy</t>
  </si>
  <si>
    <t>Washington Digital Academy</t>
  </si>
  <si>
    <t>Washington Online School</t>
  </si>
  <si>
    <t>26056</t>
  </si>
  <si>
    <t>Newport</t>
  </si>
  <si>
    <t>Newport Parent Partnership</t>
  </si>
  <si>
    <t>26059</t>
  </si>
  <si>
    <t>Cusick</t>
  </si>
  <si>
    <t>HOME PRIDE</t>
  </si>
  <si>
    <t>Kalispel Language Immersion School</t>
  </si>
  <si>
    <t>27003</t>
  </si>
  <si>
    <t>Puyallup</t>
  </si>
  <si>
    <t>P4</t>
  </si>
  <si>
    <t>Puyallup Online Academy</t>
  </si>
  <si>
    <t>27010</t>
  </si>
  <si>
    <t>Tacoma</t>
  </si>
  <si>
    <t>Tacoma Online 2.0</t>
  </si>
  <si>
    <t>27083</t>
  </si>
  <si>
    <t>University Place</t>
  </si>
  <si>
    <t>Curtis High School Alternative Program</t>
  </si>
  <si>
    <t>27320</t>
  </si>
  <si>
    <t>Sumner</t>
  </si>
  <si>
    <t>District-wide On-Line Learning Program</t>
  </si>
  <si>
    <t>27344</t>
  </si>
  <si>
    <t>Orting</t>
  </si>
  <si>
    <t>27400</t>
  </si>
  <si>
    <t>Clover Park</t>
  </si>
  <si>
    <t>Virtual / ALE</t>
  </si>
  <si>
    <t>27403</t>
  </si>
  <si>
    <t>Bethel</t>
  </si>
  <si>
    <t>ALE 7-12</t>
  </si>
  <si>
    <t>ALE K-12</t>
  </si>
  <si>
    <t>27404</t>
  </si>
  <si>
    <t>Eatonville</t>
  </si>
  <si>
    <t>Eatonville High School Online Academy</t>
  </si>
  <si>
    <t>Eatonville Middle School ALE</t>
  </si>
  <si>
    <t>27416</t>
  </si>
  <si>
    <t>White River</t>
  </si>
  <si>
    <t>Reengagement Program</t>
  </si>
  <si>
    <t>27417</t>
  </si>
  <si>
    <t>Fife</t>
  </si>
  <si>
    <t>Graduation Alliance ALE - Fife</t>
  </si>
  <si>
    <t>28137</t>
  </si>
  <si>
    <t>Orcas</t>
  </si>
  <si>
    <t>OASIS</t>
  </si>
  <si>
    <t>28149</t>
  </si>
  <si>
    <t>San Juan</t>
  </si>
  <si>
    <t>Griffin Bay Learning Center</t>
  </si>
  <si>
    <t>29100</t>
  </si>
  <si>
    <t>Burlington Edison</t>
  </si>
  <si>
    <t>Burlington-Edison Alternative School</t>
  </si>
  <si>
    <t>29101</t>
  </si>
  <si>
    <t>Sedro Woolley</t>
  </si>
  <si>
    <t>Home Centered Learning</t>
  </si>
  <si>
    <t>29103</t>
  </si>
  <si>
    <t>Anacortes</t>
  </si>
  <si>
    <t>Cap Sante High School</t>
  </si>
  <si>
    <t>29311</t>
  </si>
  <si>
    <t>La Conner</t>
  </si>
  <si>
    <t>La Conner Learning Community</t>
  </si>
  <si>
    <t>29317</t>
  </si>
  <si>
    <t>Conway</t>
  </si>
  <si>
    <t>Conway Connects</t>
  </si>
  <si>
    <t>29320</t>
  </si>
  <si>
    <t>Mt Vernon</t>
  </si>
  <si>
    <t>Aspire Academy</t>
  </si>
  <si>
    <t>Skagit Academy</t>
  </si>
  <si>
    <t>31002</t>
  </si>
  <si>
    <t>Everett</t>
  </si>
  <si>
    <t>Everett Virtual Academy</t>
  </si>
  <si>
    <t>Port Gardner K-12</t>
  </si>
  <si>
    <t>Sequoia High School</t>
  </si>
  <si>
    <t>Sequoia OnlineHS</t>
  </si>
  <si>
    <t>31004</t>
  </si>
  <si>
    <t>Lake Stevens</t>
  </si>
  <si>
    <t>Cavelero Mid High School</t>
  </si>
  <si>
    <t>Lake Stevens Middle School</t>
  </si>
  <si>
    <t>Lake Stevens Sr High School</t>
  </si>
  <si>
    <t>North Lake Middle School</t>
  </si>
  <si>
    <t>31006</t>
  </si>
  <si>
    <t>Mukilteo</t>
  </si>
  <si>
    <t>ACES High School ALE Program</t>
  </si>
  <si>
    <t>31015</t>
  </si>
  <si>
    <t>Edmonds</t>
  </si>
  <si>
    <t>Edmonds e-learning</t>
  </si>
  <si>
    <t>Edmonds Heights K-12</t>
  </si>
  <si>
    <t>31016</t>
  </si>
  <si>
    <t>Arlington</t>
  </si>
  <si>
    <t>Stillaguamish Valley School</t>
  </si>
  <si>
    <t>31025</t>
  </si>
  <si>
    <t>Marysville</t>
  </si>
  <si>
    <t>SHOPP</t>
  </si>
  <si>
    <t>31103</t>
  </si>
  <si>
    <t>Monroe</t>
  </si>
  <si>
    <t>Leaders In Learning</t>
  </si>
  <si>
    <t>Sky Valley Education Center</t>
  </si>
  <si>
    <t>31201</t>
  </si>
  <si>
    <t>Snohomish</t>
  </si>
  <si>
    <t>AIM High School</t>
  </si>
  <si>
    <t>Credit Retrieval</t>
  </si>
  <si>
    <t>Snohomish Parent Partnership</t>
  </si>
  <si>
    <t>Lakewood Online Academy LHS</t>
  </si>
  <si>
    <t>Lakewood Online Academy LMS</t>
  </si>
  <si>
    <t>Sky Valley Options</t>
  </si>
  <si>
    <t>Sultan Virtual Academy ALE</t>
  </si>
  <si>
    <t>Parent Partnership</t>
  </si>
  <si>
    <t>31332</t>
  </si>
  <si>
    <t>Granite Falls</t>
  </si>
  <si>
    <t>Crossroads Alternative High School</t>
  </si>
  <si>
    <t>Lincoln Hill - Independent Study</t>
  </si>
  <si>
    <t>Saratoga School</t>
  </si>
  <si>
    <t>32081</t>
  </si>
  <si>
    <t>Spokane</t>
  </si>
  <si>
    <t>Ferris Twilight Program</t>
  </si>
  <si>
    <t>Flett ALE</t>
  </si>
  <si>
    <t xml:space="preserve">Garry Personal Learning </t>
  </si>
  <si>
    <t>Glover Personal Learning</t>
  </si>
  <si>
    <t>Healing Lodge</t>
  </si>
  <si>
    <t>North Central Twilight</t>
  </si>
  <si>
    <t>On-Track</t>
  </si>
  <si>
    <t xml:space="preserve">Peperzak MS ALE </t>
  </si>
  <si>
    <t>PLA Chase MS Program</t>
  </si>
  <si>
    <t>PLA MS PROGRAM - SACAJAWEA</t>
  </si>
  <si>
    <t>PLA Shaw MS Program</t>
  </si>
  <si>
    <t xml:space="preserve">Rogers ALE </t>
  </si>
  <si>
    <t>S.H.A.D.L.E. ALE Program</t>
  </si>
  <si>
    <t xml:space="preserve">Salk Personalized Learning Program </t>
  </si>
  <si>
    <t xml:space="preserve">Spokane Virtual Learning </t>
  </si>
  <si>
    <t>TALE</t>
  </si>
  <si>
    <t>Tamarack ALE</t>
  </si>
  <si>
    <t>The Enrichment Cooperative (TEC)</t>
  </si>
  <si>
    <t xml:space="preserve">Yasuhara ALE </t>
  </si>
  <si>
    <t>32325</t>
  </si>
  <si>
    <t>Nine Mile Falls</t>
  </si>
  <si>
    <t>Lakeside Academy</t>
  </si>
  <si>
    <t>Nine Mile Family Partnership Program</t>
  </si>
  <si>
    <t>32326</t>
  </si>
  <si>
    <t>Medical Lake</t>
  </si>
  <si>
    <t>Connect +</t>
  </si>
  <si>
    <t>32354</t>
  </si>
  <si>
    <t>Mead</t>
  </si>
  <si>
    <t>Graduation Alliance-Mead High School</t>
  </si>
  <si>
    <t>Graduation Alliance-Mt Spokane High School</t>
  </si>
  <si>
    <t>Mead Education Partnership Prog</t>
  </si>
  <si>
    <t>RPM's</t>
  </si>
  <si>
    <t>Venture</t>
  </si>
  <si>
    <t>32356</t>
  </si>
  <si>
    <t>Central Valley</t>
  </si>
  <si>
    <t>Central Valley Virtual Learning</t>
  </si>
  <si>
    <t>Central Valley Virtual Learning High School</t>
  </si>
  <si>
    <t>Mica Peak High School</t>
  </si>
  <si>
    <t>32358</t>
  </si>
  <si>
    <t>Freeman</t>
  </si>
  <si>
    <t>S.O.A.R.S Alternative School</t>
  </si>
  <si>
    <t>32360</t>
  </si>
  <si>
    <t>Cheney</t>
  </si>
  <si>
    <t>HomeWorks!</t>
  </si>
  <si>
    <t>Three Springs</t>
  </si>
  <si>
    <t>WIN Academy</t>
  </si>
  <si>
    <t>32361</t>
  </si>
  <si>
    <t>East Valley (Spok</t>
  </si>
  <si>
    <t>EV Online Learning</t>
  </si>
  <si>
    <t>32362</t>
  </si>
  <si>
    <t>Liberty</t>
  </si>
  <si>
    <t>S.O.A.R.S. Alternative School</t>
  </si>
  <si>
    <t>32363</t>
  </si>
  <si>
    <t>West Valley (Spok</t>
  </si>
  <si>
    <t>Dishman Hills High School</t>
  </si>
  <si>
    <t>Spokane Valley High School</t>
  </si>
  <si>
    <t>West Valley City School</t>
  </si>
  <si>
    <t>West Valley Virtual Learning Center</t>
  </si>
  <si>
    <t>32414</t>
  </si>
  <si>
    <t>Deer Park</t>
  </si>
  <si>
    <t>Deer Park Alternative High School</t>
  </si>
  <si>
    <t>Deer Park Home Link</t>
  </si>
  <si>
    <t>32416</t>
  </si>
  <si>
    <t>Riverside</t>
  </si>
  <si>
    <t>Independent Scholar Program</t>
  </si>
  <si>
    <t>Riverside Achievement Center</t>
  </si>
  <si>
    <t>32907</t>
  </si>
  <si>
    <t>Innovation Spokane Charter</t>
  </si>
  <si>
    <t>Red Comet</t>
  </si>
  <si>
    <t>33036</t>
  </si>
  <si>
    <t>Chewelah</t>
  </si>
  <si>
    <t>Chewelah HomeLink</t>
  </si>
  <si>
    <t>33070</t>
  </si>
  <si>
    <t>Valley</t>
  </si>
  <si>
    <t>Columbia Virtual Academy</t>
  </si>
  <si>
    <t>33115</t>
  </si>
  <si>
    <t>Colville</t>
  </si>
  <si>
    <t>Panorama</t>
  </si>
  <si>
    <t>33183</t>
  </si>
  <si>
    <t>Loon Lake</t>
  </si>
  <si>
    <t>Loon Lake School Parent Partnership Program</t>
  </si>
  <si>
    <t>33207</t>
  </si>
  <si>
    <t>Mary Walker</t>
  </si>
  <si>
    <t>Mary Walker Promise</t>
  </si>
  <si>
    <t>33212</t>
  </si>
  <si>
    <t>Kettle Falls</t>
  </si>
  <si>
    <t xml:space="preserve">Columbia Virtual Academy - Kettle Falls </t>
  </si>
  <si>
    <t>Contracted Based Education</t>
  </si>
  <si>
    <t>34002</t>
  </si>
  <si>
    <t>Yelm</t>
  </si>
  <si>
    <t>YEC Contract Based Learning</t>
  </si>
  <si>
    <t>34003</t>
  </si>
  <si>
    <t>North Thurston</t>
  </si>
  <si>
    <t>IFA</t>
  </si>
  <si>
    <t>SVA</t>
  </si>
  <si>
    <t>34033</t>
  </si>
  <si>
    <t>Tumwater</t>
  </si>
  <si>
    <t>Cascadia High School</t>
  </si>
  <si>
    <t>New Market High School</t>
  </si>
  <si>
    <t>34111</t>
  </si>
  <si>
    <t>Olympia</t>
  </si>
  <si>
    <t>Avanti High School</t>
  </si>
  <si>
    <t>CAPITAL HIGH SCHOOL</t>
  </si>
  <si>
    <t>Olympia High School</t>
  </si>
  <si>
    <t>ORLA</t>
  </si>
  <si>
    <t>34401</t>
  </si>
  <si>
    <t>Rochester</t>
  </si>
  <si>
    <t>H.e.a.r.t. High School</t>
  </si>
  <si>
    <t>Tenino Learning Link</t>
  </si>
  <si>
    <t>Wendt/Thomas Parent Partnership</t>
  </si>
  <si>
    <t>36140</t>
  </si>
  <si>
    <t>Walla Walla</t>
  </si>
  <si>
    <t>Lincoln High School</t>
  </si>
  <si>
    <t>Opportunity Program</t>
  </si>
  <si>
    <t>Walla Walla Online</t>
  </si>
  <si>
    <t>36300</t>
  </si>
  <si>
    <t>Touchet</t>
  </si>
  <si>
    <t>Touchet Connects</t>
  </si>
  <si>
    <t>Touchet Virtual Academy</t>
  </si>
  <si>
    <t>37501</t>
  </si>
  <si>
    <t>Bellingham</t>
  </si>
  <si>
    <t>Bellingham Family Partnership</t>
  </si>
  <si>
    <t>Bellingham Virtual Learning</t>
  </si>
  <si>
    <t>37502</t>
  </si>
  <si>
    <t>Ferndale</t>
  </si>
  <si>
    <t>FERNDALE FAMILY PARTNERSHIP</t>
  </si>
  <si>
    <t>Ferndale Virtual Academy</t>
  </si>
  <si>
    <t>37503</t>
  </si>
  <si>
    <t>Blaine</t>
  </si>
  <si>
    <t>Blaine HS ALE program</t>
  </si>
  <si>
    <t>Blaine MS ALE Program</t>
  </si>
  <si>
    <t>HomeConnection</t>
  </si>
  <si>
    <t>37504</t>
  </si>
  <si>
    <t>Lynden</t>
  </si>
  <si>
    <t>Lynden Academy</t>
  </si>
  <si>
    <t>37505</t>
  </si>
  <si>
    <t>Meridian</t>
  </si>
  <si>
    <t>MP3 ALE</t>
  </si>
  <si>
    <t>Mount Baker Academy</t>
  </si>
  <si>
    <t>The American Academy</t>
  </si>
  <si>
    <t>38265</t>
  </si>
  <si>
    <t>Tekoa</t>
  </si>
  <si>
    <t>Tekoa School District ALE (HS &amp; GS)</t>
  </si>
  <si>
    <t>38267</t>
  </si>
  <si>
    <t>Pullman</t>
  </si>
  <si>
    <t>ALE/Flex Ed</t>
  </si>
  <si>
    <t>39003</t>
  </si>
  <si>
    <t>Naches Valley</t>
  </si>
  <si>
    <t>Naches Valley Alternative Program</t>
  </si>
  <si>
    <t>CLC Contract Program</t>
  </si>
  <si>
    <t xml:space="preserve">K-8 Virtual </t>
  </si>
  <si>
    <t xml:space="preserve">Yakima Online!  </t>
  </si>
  <si>
    <t>39090</t>
  </si>
  <si>
    <t>East Valley (Yak)</t>
  </si>
  <si>
    <t>39119</t>
  </si>
  <si>
    <t>Selah</t>
  </si>
  <si>
    <t>Selah Online #1</t>
  </si>
  <si>
    <t>Selah Online #2</t>
  </si>
  <si>
    <t>39200</t>
  </si>
  <si>
    <t>Grandview</t>
  </si>
  <si>
    <t>Contract Learning Center</t>
  </si>
  <si>
    <t>Grandview Online Academy</t>
  </si>
  <si>
    <t>39201</t>
  </si>
  <si>
    <t>Sunnyside</t>
  </si>
  <si>
    <t>39202</t>
  </si>
  <si>
    <t>Toppenish</t>
  </si>
  <si>
    <t>COMPUTER ACADEMY TOPPENISH (CAT)</t>
  </si>
  <si>
    <t>39204</t>
  </si>
  <si>
    <t>Granger</t>
  </si>
  <si>
    <t xml:space="preserve">Granger Alternative Learning Environment </t>
  </si>
  <si>
    <t>39207</t>
  </si>
  <si>
    <t>Wapato</t>
  </si>
  <si>
    <t>Wapato Online Academy</t>
  </si>
  <si>
    <t>39208</t>
  </si>
  <si>
    <t>West Valley (Yak)</t>
  </si>
  <si>
    <t>WEST VALLEY VIRTUAL ACADEMY 7-8</t>
  </si>
  <si>
    <t>WEST VALLEY VIRTUAL ACADEMY 9-12</t>
  </si>
  <si>
    <t>WEST VALLEY VIRTUAL ACADEMY K-6</t>
  </si>
  <si>
    <t>West Valley Virtual University</t>
  </si>
  <si>
    <t>39209</t>
  </si>
  <si>
    <t>Mount Adams</t>
  </si>
  <si>
    <t>Mount Adams Online ALE</t>
  </si>
  <si>
    <t>HC</t>
  </si>
  <si>
    <t>FTE</t>
  </si>
  <si>
    <t>Average</t>
  </si>
  <si>
    <t>State Summary</t>
  </si>
  <si>
    <t>ALE Enrollment (Headcount and FTE) by Program and Month</t>
  </si>
  <si>
    <t>May</t>
  </si>
  <si>
    <t>June</t>
  </si>
  <si>
    <t>17405</t>
  </si>
  <si>
    <t>Bellevue</t>
  </si>
  <si>
    <t>21302</t>
  </si>
  <si>
    <t>Chehalis</t>
  </si>
  <si>
    <t>02250</t>
  </si>
  <si>
    <t>Clarkston</t>
  </si>
  <si>
    <t>15204</t>
  </si>
  <si>
    <t>Coupeville</t>
  </si>
  <si>
    <t>20404</t>
  </si>
  <si>
    <t>Goldendale</t>
  </si>
  <si>
    <t>17401</t>
  </si>
  <si>
    <t>Highline</t>
  </si>
  <si>
    <t>03017</t>
  </si>
  <si>
    <t>Kennewick</t>
  </si>
  <si>
    <t>31306</t>
  </si>
  <si>
    <t>Lakewood</t>
  </si>
  <si>
    <t>28144</t>
  </si>
  <si>
    <t>Lopez</t>
  </si>
  <si>
    <t>17400</t>
  </si>
  <si>
    <t>Mercer Island</t>
  </si>
  <si>
    <t>37507</t>
  </si>
  <si>
    <t>Mount Baker</t>
  </si>
  <si>
    <t>33211</t>
  </si>
  <si>
    <t>Northport</t>
  </si>
  <si>
    <t>01160</t>
  </si>
  <si>
    <t>Ritzville</t>
  </si>
  <si>
    <t>31401</t>
  </si>
  <si>
    <t>Stanwood</t>
  </si>
  <si>
    <t>31311</t>
  </si>
  <si>
    <t>Sultan</t>
  </si>
  <si>
    <t>34402</t>
  </si>
  <si>
    <t>Tenino</t>
  </si>
  <si>
    <t>08130</t>
  </si>
  <si>
    <t>Toutle Lake</t>
  </si>
  <si>
    <t>06037</t>
  </si>
  <si>
    <t>Vancouver</t>
  </si>
  <si>
    <t>35200</t>
  </si>
  <si>
    <t>Wahkiakum</t>
  </si>
  <si>
    <t>39007</t>
  </si>
  <si>
    <t>Yakima</t>
  </si>
  <si>
    <t>Source: SAFS ALE - FINAL extract pulled August 31, 2025 - excludes summer 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</si>
</sst>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7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164" fontId="4" fillId="0" borderId="0" xfId="1" applyNumberFormat="1" applyFont="1"/>
    <xf numFmtId="43" fontId="4" fillId="0" borderId="0" xfId="1" applyFont="1"/>
    <xf numFmtId="0" fontId="5" fillId="0" borderId="0" xfId="0" applyFont="1"/>
    <xf numFmtId="0" fontId="3" fillId="0" borderId="1" xfId="0" applyFont="1" applyBorder="1" applyAlignment="1">
      <alignment vertical="top"/>
    </xf>
    <xf numFmtId="164" fontId="3" fillId="0" borderId="1" xfId="1" applyNumberFormat="1" applyFont="1" applyBorder="1" applyAlignment="1">
      <alignment horizontal="center" vertical="top"/>
    </xf>
    <xf numFmtId="43" fontId="3" fillId="0" borderId="1" xfId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/>
  </cellXfs>
  <cellStyles count="4">
    <cellStyle name="Comma" xfId="1" builtinId="3"/>
    <cellStyle name="Comma 2" xfId="3" xr:uid="{37923A69-6A68-4EF7-ACC7-37E396C74CEF}"/>
    <cellStyle name="Normal" xfId="0" builtinId="0"/>
    <cellStyle name="Normal 2" xfId="2" xr:uid="{2BFD47FC-B75E-4B36-A3A8-5D6E2F321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CE6E-7442-4F6D-8D34-E8FC10B1D7CF}">
  <dimension ref="A1:Y1140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I9" sqref="I9"/>
    </sheetView>
  </sheetViews>
  <sheetFormatPr defaultRowHeight="15" x14ac:dyDescent="0.25"/>
  <cols>
    <col min="1" max="1" width="7.140625" style="2" bestFit="1" customWidth="1"/>
    <col min="2" max="2" width="24" style="2" bestFit="1" customWidth="1"/>
    <col min="3" max="3" width="50.85546875" style="2" bestFit="1" customWidth="1"/>
    <col min="4" max="4" width="8.7109375" style="2" customWidth="1"/>
    <col min="5" max="5" width="10.7109375" style="2" customWidth="1"/>
    <col min="6" max="6" width="8.7109375" style="2" customWidth="1"/>
    <col min="7" max="7" width="10.7109375" style="2" customWidth="1"/>
    <col min="8" max="8" width="8.7109375" style="2" customWidth="1"/>
    <col min="9" max="9" width="10.7109375" style="2" customWidth="1"/>
    <col min="10" max="10" width="8.7109375" style="2" customWidth="1"/>
    <col min="11" max="11" width="10.7109375" style="2" customWidth="1"/>
    <col min="12" max="12" width="8.7109375" style="2" customWidth="1"/>
    <col min="13" max="13" width="10.7109375" style="2" customWidth="1"/>
    <col min="14" max="14" width="8.7109375" style="2" customWidth="1"/>
    <col min="15" max="15" width="10.7109375" style="2" customWidth="1"/>
    <col min="16" max="16" width="8.7109375" style="2" customWidth="1"/>
    <col min="17" max="17" width="10.7109375" style="2" customWidth="1"/>
    <col min="18" max="18" width="8.7109375" style="2" customWidth="1"/>
    <col min="19" max="25" width="10.7109375" style="2" customWidth="1"/>
    <col min="26" max="260" width="9.140625" style="2"/>
    <col min="261" max="261" width="10.5703125" style="2" bestFit="1" customWidth="1"/>
    <col min="262" max="262" width="24" style="2" bestFit="1" customWidth="1"/>
    <col min="263" max="263" width="50.85546875" style="2" bestFit="1" customWidth="1"/>
    <col min="264" max="279" width="14.85546875" style="2" bestFit="1" customWidth="1"/>
    <col min="280" max="516" width="9.140625" style="2"/>
    <col min="517" max="517" width="10.5703125" style="2" bestFit="1" customWidth="1"/>
    <col min="518" max="518" width="24" style="2" bestFit="1" customWidth="1"/>
    <col min="519" max="519" width="50.85546875" style="2" bestFit="1" customWidth="1"/>
    <col min="520" max="535" width="14.85546875" style="2" bestFit="1" customWidth="1"/>
    <col min="536" max="772" width="9.140625" style="2"/>
    <col min="773" max="773" width="10.5703125" style="2" bestFit="1" customWidth="1"/>
    <col min="774" max="774" width="24" style="2" bestFit="1" customWidth="1"/>
    <col min="775" max="775" width="50.85546875" style="2" bestFit="1" customWidth="1"/>
    <col min="776" max="791" width="14.85546875" style="2" bestFit="1" customWidth="1"/>
    <col min="792" max="1028" width="9.140625" style="2"/>
    <col min="1029" max="1029" width="10.5703125" style="2" bestFit="1" customWidth="1"/>
    <col min="1030" max="1030" width="24" style="2" bestFit="1" customWidth="1"/>
    <col min="1031" max="1031" width="50.85546875" style="2" bestFit="1" customWidth="1"/>
    <col min="1032" max="1047" width="14.85546875" style="2" bestFit="1" customWidth="1"/>
    <col min="1048" max="1284" width="9.140625" style="2"/>
    <col min="1285" max="1285" width="10.5703125" style="2" bestFit="1" customWidth="1"/>
    <col min="1286" max="1286" width="24" style="2" bestFit="1" customWidth="1"/>
    <col min="1287" max="1287" width="50.85546875" style="2" bestFit="1" customWidth="1"/>
    <col min="1288" max="1303" width="14.85546875" style="2" bestFit="1" customWidth="1"/>
    <col min="1304" max="1540" width="9.140625" style="2"/>
    <col min="1541" max="1541" width="10.5703125" style="2" bestFit="1" customWidth="1"/>
    <col min="1542" max="1542" width="24" style="2" bestFit="1" customWidth="1"/>
    <col min="1543" max="1543" width="50.85546875" style="2" bestFit="1" customWidth="1"/>
    <col min="1544" max="1559" width="14.85546875" style="2" bestFit="1" customWidth="1"/>
    <col min="1560" max="1796" width="9.140625" style="2"/>
    <col min="1797" max="1797" width="10.5703125" style="2" bestFit="1" customWidth="1"/>
    <col min="1798" max="1798" width="24" style="2" bestFit="1" customWidth="1"/>
    <col min="1799" max="1799" width="50.85546875" style="2" bestFit="1" customWidth="1"/>
    <col min="1800" max="1815" width="14.85546875" style="2" bestFit="1" customWidth="1"/>
    <col min="1816" max="2052" width="9.140625" style="2"/>
    <col min="2053" max="2053" width="10.5703125" style="2" bestFit="1" customWidth="1"/>
    <col min="2054" max="2054" width="24" style="2" bestFit="1" customWidth="1"/>
    <col min="2055" max="2055" width="50.85546875" style="2" bestFit="1" customWidth="1"/>
    <col min="2056" max="2071" width="14.85546875" style="2" bestFit="1" customWidth="1"/>
    <col min="2072" max="2308" width="9.140625" style="2"/>
    <col min="2309" max="2309" width="10.5703125" style="2" bestFit="1" customWidth="1"/>
    <col min="2310" max="2310" width="24" style="2" bestFit="1" customWidth="1"/>
    <col min="2311" max="2311" width="50.85546875" style="2" bestFit="1" customWidth="1"/>
    <col min="2312" max="2327" width="14.85546875" style="2" bestFit="1" customWidth="1"/>
    <col min="2328" max="2564" width="9.140625" style="2"/>
    <col min="2565" max="2565" width="10.5703125" style="2" bestFit="1" customWidth="1"/>
    <col min="2566" max="2566" width="24" style="2" bestFit="1" customWidth="1"/>
    <col min="2567" max="2567" width="50.85546875" style="2" bestFit="1" customWidth="1"/>
    <col min="2568" max="2583" width="14.85546875" style="2" bestFit="1" customWidth="1"/>
    <col min="2584" max="2820" width="9.140625" style="2"/>
    <col min="2821" max="2821" width="10.5703125" style="2" bestFit="1" customWidth="1"/>
    <col min="2822" max="2822" width="24" style="2" bestFit="1" customWidth="1"/>
    <col min="2823" max="2823" width="50.85546875" style="2" bestFit="1" customWidth="1"/>
    <col min="2824" max="2839" width="14.85546875" style="2" bestFit="1" customWidth="1"/>
    <col min="2840" max="3076" width="9.140625" style="2"/>
    <col min="3077" max="3077" width="10.5703125" style="2" bestFit="1" customWidth="1"/>
    <col min="3078" max="3078" width="24" style="2" bestFit="1" customWidth="1"/>
    <col min="3079" max="3079" width="50.85546875" style="2" bestFit="1" customWidth="1"/>
    <col min="3080" max="3095" width="14.85546875" style="2" bestFit="1" customWidth="1"/>
    <col min="3096" max="3332" width="9.140625" style="2"/>
    <col min="3333" max="3333" width="10.5703125" style="2" bestFit="1" customWidth="1"/>
    <col min="3334" max="3334" width="24" style="2" bestFit="1" customWidth="1"/>
    <col min="3335" max="3335" width="50.85546875" style="2" bestFit="1" customWidth="1"/>
    <col min="3336" max="3351" width="14.85546875" style="2" bestFit="1" customWidth="1"/>
    <col min="3352" max="3588" width="9.140625" style="2"/>
    <col min="3589" max="3589" width="10.5703125" style="2" bestFit="1" customWidth="1"/>
    <col min="3590" max="3590" width="24" style="2" bestFit="1" customWidth="1"/>
    <col min="3591" max="3591" width="50.85546875" style="2" bestFit="1" customWidth="1"/>
    <col min="3592" max="3607" width="14.85546875" style="2" bestFit="1" customWidth="1"/>
    <col min="3608" max="3844" width="9.140625" style="2"/>
    <col min="3845" max="3845" width="10.5703125" style="2" bestFit="1" customWidth="1"/>
    <col min="3846" max="3846" width="24" style="2" bestFit="1" customWidth="1"/>
    <col min="3847" max="3847" width="50.85546875" style="2" bestFit="1" customWidth="1"/>
    <col min="3848" max="3863" width="14.85546875" style="2" bestFit="1" customWidth="1"/>
    <col min="3864" max="4100" width="9.140625" style="2"/>
    <col min="4101" max="4101" width="10.5703125" style="2" bestFit="1" customWidth="1"/>
    <col min="4102" max="4102" width="24" style="2" bestFit="1" customWidth="1"/>
    <col min="4103" max="4103" width="50.85546875" style="2" bestFit="1" customWidth="1"/>
    <col min="4104" max="4119" width="14.85546875" style="2" bestFit="1" customWidth="1"/>
    <col min="4120" max="4356" width="9.140625" style="2"/>
    <col min="4357" max="4357" width="10.5703125" style="2" bestFit="1" customWidth="1"/>
    <col min="4358" max="4358" width="24" style="2" bestFit="1" customWidth="1"/>
    <col min="4359" max="4359" width="50.85546875" style="2" bestFit="1" customWidth="1"/>
    <col min="4360" max="4375" width="14.85546875" style="2" bestFit="1" customWidth="1"/>
    <col min="4376" max="4612" width="9.140625" style="2"/>
    <col min="4613" max="4613" width="10.5703125" style="2" bestFit="1" customWidth="1"/>
    <col min="4614" max="4614" width="24" style="2" bestFit="1" customWidth="1"/>
    <col min="4615" max="4615" width="50.85546875" style="2" bestFit="1" customWidth="1"/>
    <col min="4616" max="4631" width="14.85546875" style="2" bestFit="1" customWidth="1"/>
    <col min="4632" max="4868" width="9.140625" style="2"/>
    <col min="4869" max="4869" width="10.5703125" style="2" bestFit="1" customWidth="1"/>
    <col min="4870" max="4870" width="24" style="2" bestFit="1" customWidth="1"/>
    <col min="4871" max="4871" width="50.85546875" style="2" bestFit="1" customWidth="1"/>
    <col min="4872" max="4887" width="14.85546875" style="2" bestFit="1" customWidth="1"/>
    <col min="4888" max="5124" width="9.140625" style="2"/>
    <col min="5125" max="5125" width="10.5703125" style="2" bestFit="1" customWidth="1"/>
    <col min="5126" max="5126" width="24" style="2" bestFit="1" customWidth="1"/>
    <col min="5127" max="5127" width="50.85546875" style="2" bestFit="1" customWidth="1"/>
    <col min="5128" max="5143" width="14.85546875" style="2" bestFit="1" customWidth="1"/>
    <col min="5144" max="5380" width="9.140625" style="2"/>
    <col min="5381" max="5381" width="10.5703125" style="2" bestFit="1" customWidth="1"/>
    <col min="5382" max="5382" width="24" style="2" bestFit="1" customWidth="1"/>
    <col min="5383" max="5383" width="50.85546875" style="2" bestFit="1" customWidth="1"/>
    <col min="5384" max="5399" width="14.85546875" style="2" bestFit="1" customWidth="1"/>
    <col min="5400" max="5636" width="9.140625" style="2"/>
    <col min="5637" max="5637" width="10.5703125" style="2" bestFit="1" customWidth="1"/>
    <col min="5638" max="5638" width="24" style="2" bestFit="1" customWidth="1"/>
    <col min="5639" max="5639" width="50.85546875" style="2" bestFit="1" customWidth="1"/>
    <col min="5640" max="5655" width="14.85546875" style="2" bestFit="1" customWidth="1"/>
    <col min="5656" max="5892" width="9.140625" style="2"/>
    <col min="5893" max="5893" width="10.5703125" style="2" bestFit="1" customWidth="1"/>
    <col min="5894" max="5894" width="24" style="2" bestFit="1" customWidth="1"/>
    <col min="5895" max="5895" width="50.85546875" style="2" bestFit="1" customWidth="1"/>
    <col min="5896" max="5911" width="14.85546875" style="2" bestFit="1" customWidth="1"/>
    <col min="5912" max="6148" width="9.140625" style="2"/>
    <col min="6149" max="6149" width="10.5703125" style="2" bestFit="1" customWidth="1"/>
    <col min="6150" max="6150" width="24" style="2" bestFit="1" customWidth="1"/>
    <col min="6151" max="6151" width="50.85546875" style="2" bestFit="1" customWidth="1"/>
    <col min="6152" max="6167" width="14.85546875" style="2" bestFit="1" customWidth="1"/>
    <col min="6168" max="6404" width="9.140625" style="2"/>
    <col min="6405" max="6405" width="10.5703125" style="2" bestFit="1" customWidth="1"/>
    <col min="6406" max="6406" width="24" style="2" bestFit="1" customWidth="1"/>
    <col min="6407" max="6407" width="50.85546875" style="2" bestFit="1" customWidth="1"/>
    <col min="6408" max="6423" width="14.85546875" style="2" bestFit="1" customWidth="1"/>
    <col min="6424" max="6660" width="9.140625" style="2"/>
    <col min="6661" max="6661" width="10.5703125" style="2" bestFit="1" customWidth="1"/>
    <col min="6662" max="6662" width="24" style="2" bestFit="1" customWidth="1"/>
    <col min="6663" max="6663" width="50.85546875" style="2" bestFit="1" customWidth="1"/>
    <col min="6664" max="6679" width="14.85546875" style="2" bestFit="1" customWidth="1"/>
    <col min="6680" max="6916" width="9.140625" style="2"/>
    <col min="6917" max="6917" width="10.5703125" style="2" bestFit="1" customWidth="1"/>
    <col min="6918" max="6918" width="24" style="2" bestFit="1" customWidth="1"/>
    <col min="6919" max="6919" width="50.85546875" style="2" bestFit="1" customWidth="1"/>
    <col min="6920" max="6935" width="14.85546875" style="2" bestFit="1" customWidth="1"/>
    <col min="6936" max="7172" width="9.140625" style="2"/>
    <col min="7173" max="7173" width="10.5703125" style="2" bestFit="1" customWidth="1"/>
    <col min="7174" max="7174" width="24" style="2" bestFit="1" customWidth="1"/>
    <col min="7175" max="7175" width="50.85546875" style="2" bestFit="1" customWidth="1"/>
    <col min="7176" max="7191" width="14.85546875" style="2" bestFit="1" customWidth="1"/>
    <col min="7192" max="7428" width="9.140625" style="2"/>
    <col min="7429" max="7429" width="10.5703125" style="2" bestFit="1" customWidth="1"/>
    <col min="7430" max="7430" width="24" style="2" bestFit="1" customWidth="1"/>
    <col min="7431" max="7431" width="50.85546875" style="2" bestFit="1" customWidth="1"/>
    <col min="7432" max="7447" width="14.85546875" style="2" bestFit="1" customWidth="1"/>
    <col min="7448" max="7684" width="9.140625" style="2"/>
    <col min="7685" max="7685" width="10.5703125" style="2" bestFit="1" customWidth="1"/>
    <col min="7686" max="7686" width="24" style="2" bestFit="1" customWidth="1"/>
    <col min="7687" max="7687" width="50.85546875" style="2" bestFit="1" customWidth="1"/>
    <col min="7688" max="7703" width="14.85546875" style="2" bestFit="1" customWidth="1"/>
    <col min="7704" max="7940" width="9.140625" style="2"/>
    <col min="7941" max="7941" width="10.5703125" style="2" bestFit="1" customWidth="1"/>
    <col min="7942" max="7942" width="24" style="2" bestFit="1" customWidth="1"/>
    <col min="7943" max="7943" width="50.85546875" style="2" bestFit="1" customWidth="1"/>
    <col min="7944" max="7959" width="14.85546875" style="2" bestFit="1" customWidth="1"/>
    <col min="7960" max="8196" width="9.140625" style="2"/>
    <col min="8197" max="8197" width="10.5703125" style="2" bestFit="1" customWidth="1"/>
    <col min="8198" max="8198" width="24" style="2" bestFit="1" customWidth="1"/>
    <col min="8199" max="8199" width="50.85546875" style="2" bestFit="1" customWidth="1"/>
    <col min="8200" max="8215" width="14.85546875" style="2" bestFit="1" customWidth="1"/>
    <col min="8216" max="8452" width="9.140625" style="2"/>
    <col min="8453" max="8453" width="10.5703125" style="2" bestFit="1" customWidth="1"/>
    <col min="8454" max="8454" width="24" style="2" bestFit="1" customWidth="1"/>
    <col min="8455" max="8455" width="50.85546875" style="2" bestFit="1" customWidth="1"/>
    <col min="8456" max="8471" width="14.85546875" style="2" bestFit="1" customWidth="1"/>
    <col min="8472" max="8708" width="9.140625" style="2"/>
    <col min="8709" max="8709" width="10.5703125" style="2" bestFit="1" customWidth="1"/>
    <col min="8710" max="8710" width="24" style="2" bestFit="1" customWidth="1"/>
    <col min="8711" max="8711" width="50.85546875" style="2" bestFit="1" customWidth="1"/>
    <col min="8712" max="8727" width="14.85546875" style="2" bestFit="1" customWidth="1"/>
    <col min="8728" max="8964" width="9.140625" style="2"/>
    <col min="8965" max="8965" width="10.5703125" style="2" bestFit="1" customWidth="1"/>
    <col min="8966" max="8966" width="24" style="2" bestFit="1" customWidth="1"/>
    <col min="8967" max="8967" width="50.85546875" style="2" bestFit="1" customWidth="1"/>
    <col min="8968" max="8983" width="14.85546875" style="2" bestFit="1" customWidth="1"/>
    <col min="8984" max="9220" width="9.140625" style="2"/>
    <col min="9221" max="9221" width="10.5703125" style="2" bestFit="1" customWidth="1"/>
    <col min="9222" max="9222" width="24" style="2" bestFit="1" customWidth="1"/>
    <col min="9223" max="9223" width="50.85546875" style="2" bestFit="1" customWidth="1"/>
    <col min="9224" max="9239" width="14.85546875" style="2" bestFit="1" customWidth="1"/>
    <col min="9240" max="9476" width="9.140625" style="2"/>
    <col min="9477" max="9477" width="10.5703125" style="2" bestFit="1" customWidth="1"/>
    <col min="9478" max="9478" width="24" style="2" bestFit="1" customWidth="1"/>
    <col min="9479" max="9479" width="50.85546875" style="2" bestFit="1" customWidth="1"/>
    <col min="9480" max="9495" width="14.85546875" style="2" bestFit="1" customWidth="1"/>
    <col min="9496" max="9732" width="9.140625" style="2"/>
    <col min="9733" max="9733" width="10.5703125" style="2" bestFit="1" customWidth="1"/>
    <col min="9734" max="9734" width="24" style="2" bestFit="1" customWidth="1"/>
    <col min="9735" max="9735" width="50.85546875" style="2" bestFit="1" customWidth="1"/>
    <col min="9736" max="9751" width="14.85546875" style="2" bestFit="1" customWidth="1"/>
    <col min="9752" max="9988" width="9.140625" style="2"/>
    <col min="9989" max="9989" width="10.5703125" style="2" bestFit="1" customWidth="1"/>
    <col min="9990" max="9990" width="24" style="2" bestFit="1" customWidth="1"/>
    <col min="9991" max="9991" width="50.85546875" style="2" bestFit="1" customWidth="1"/>
    <col min="9992" max="10007" width="14.85546875" style="2" bestFit="1" customWidth="1"/>
    <col min="10008" max="10244" width="9.140625" style="2"/>
    <col min="10245" max="10245" width="10.5703125" style="2" bestFit="1" customWidth="1"/>
    <col min="10246" max="10246" width="24" style="2" bestFit="1" customWidth="1"/>
    <col min="10247" max="10247" width="50.85546875" style="2" bestFit="1" customWidth="1"/>
    <col min="10248" max="10263" width="14.85546875" style="2" bestFit="1" customWidth="1"/>
    <col min="10264" max="10500" width="9.140625" style="2"/>
    <col min="10501" max="10501" width="10.5703125" style="2" bestFit="1" customWidth="1"/>
    <col min="10502" max="10502" width="24" style="2" bestFit="1" customWidth="1"/>
    <col min="10503" max="10503" width="50.85546875" style="2" bestFit="1" customWidth="1"/>
    <col min="10504" max="10519" width="14.85546875" style="2" bestFit="1" customWidth="1"/>
    <col min="10520" max="10756" width="9.140625" style="2"/>
    <col min="10757" max="10757" width="10.5703125" style="2" bestFit="1" customWidth="1"/>
    <col min="10758" max="10758" width="24" style="2" bestFit="1" customWidth="1"/>
    <col min="10759" max="10759" width="50.85546875" style="2" bestFit="1" customWidth="1"/>
    <col min="10760" max="10775" width="14.85546875" style="2" bestFit="1" customWidth="1"/>
    <col min="10776" max="11012" width="9.140625" style="2"/>
    <col min="11013" max="11013" width="10.5703125" style="2" bestFit="1" customWidth="1"/>
    <col min="11014" max="11014" width="24" style="2" bestFit="1" customWidth="1"/>
    <col min="11015" max="11015" width="50.85546875" style="2" bestFit="1" customWidth="1"/>
    <col min="11016" max="11031" width="14.85546875" style="2" bestFit="1" customWidth="1"/>
    <col min="11032" max="11268" width="9.140625" style="2"/>
    <col min="11269" max="11269" width="10.5703125" style="2" bestFit="1" customWidth="1"/>
    <col min="11270" max="11270" width="24" style="2" bestFit="1" customWidth="1"/>
    <col min="11271" max="11271" width="50.85546875" style="2" bestFit="1" customWidth="1"/>
    <col min="11272" max="11287" width="14.85546875" style="2" bestFit="1" customWidth="1"/>
    <col min="11288" max="11524" width="9.140625" style="2"/>
    <col min="11525" max="11525" width="10.5703125" style="2" bestFit="1" customWidth="1"/>
    <col min="11526" max="11526" width="24" style="2" bestFit="1" customWidth="1"/>
    <col min="11527" max="11527" width="50.85546875" style="2" bestFit="1" customWidth="1"/>
    <col min="11528" max="11543" width="14.85546875" style="2" bestFit="1" customWidth="1"/>
    <col min="11544" max="11780" width="9.140625" style="2"/>
    <col min="11781" max="11781" width="10.5703125" style="2" bestFit="1" customWidth="1"/>
    <col min="11782" max="11782" width="24" style="2" bestFit="1" customWidth="1"/>
    <col min="11783" max="11783" width="50.85546875" style="2" bestFit="1" customWidth="1"/>
    <col min="11784" max="11799" width="14.85546875" style="2" bestFit="1" customWidth="1"/>
    <col min="11800" max="12036" width="9.140625" style="2"/>
    <col min="12037" max="12037" width="10.5703125" style="2" bestFit="1" customWidth="1"/>
    <col min="12038" max="12038" width="24" style="2" bestFit="1" customWidth="1"/>
    <col min="12039" max="12039" width="50.85546875" style="2" bestFit="1" customWidth="1"/>
    <col min="12040" max="12055" width="14.85546875" style="2" bestFit="1" customWidth="1"/>
    <col min="12056" max="12292" width="9.140625" style="2"/>
    <col min="12293" max="12293" width="10.5703125" style="2" bestFit="1" customWidth="1"/>
    <col min="12294" max="12294" width="24" style="2" bestFit="1" customWidth="1"/>
    <col min="12295" max="12295" width="50.85546875" style="2" bestFit="1" customWidth="1"/>
    <col min="12296" max="12311" width="14.85546875" style="2" bestFit="1" customWidth="1"/>
    <col min="12312" max="12548" width="9.140625" style="2"/>
    <col min="12549" max="12549" width="10.5703125" style="2" bestFit="1" customWidth="1"/>
    <col min="12550" max="12550" width="24" style="2" bestFit="1" customWidth="1"/>
    <col min="12551" max="12551" width="50.85546875" style="2" bestFit="1" customWidth="1"/>
    <col min="12552" max="12567" width="14.85546875" style="2" bestFit="1" customWidth="1"/>
    <col min="12568" max="12804" width="9.140625" style="2"/>
    <col min="12805" max="12805" width="10.5703125" style="2" bestFit="1" customWidth="1"/>
    <col min="12806" max="12806" width="24" style="2" bestFit="1" customWidth="1"/>
    <col min="12807" max="12807" width="50.85546875" style="2" bestFit="1" customWidth="1"/>
    <col min="12808" max="12823" width="14.85546875" style="2" bestFit="1" customWidth="1"/>
    <col min="12824" max="13060" width="9.140625" style="2"/>
    <col min="13061" max="13061" width="10.5703125" style="2" bestFit="1" customWidth="1"/>
    <col min="13062" max="13062" width="24" style="2" bestFit="1" customWidth="1"/>
    <col min="13063" max="13063" width="50.85546875" style="2" bestFit="1" customWidth="1"/>
    <col min="13064" max="13079" width="14.85546875" style="2" bestFit="1" customWidth="1"/>
    <col min="13080" max="13316" width="9.140625" style="2"/>
    <col min="13317" max="13317" width="10.5703125" style="2" bestFit="1" customWidth="1"/>
    <col min="13318" max="13318" width="24" style="2" bestFit="1" customWidth="1"/>
    <col min="13319" max="13319" width="50.85546875" style="2" bestFit="1" customWidth="1"/>
    <col min="13320" max="13335" width="14.85546875" style="2" bestFit="1" customWidth="1"/>
    <col min="13336" max="13572" width="9.140625" style="2"/>
    <col min="13573" max="13573" width="10.5703125" style="2" bestFit="1" customWidth="1"/>
    <col min="13574" max="13574" width="24" style="2" bestFit="1" customWidth="1"/>
    <col min="13575" max="13575" width="50.85546875" style="2" bestFit="1" customWidth="1"/>
    <col min="13576" max="13591" width="14.85546875" style="2" bestFit="1" customWidth="1"/>
    <col min="13592" max="13828" width="9.140625" style="2"/>
    <col min="13829" max="13829" width="10.5703125" style="2" bestFit="1" customWidth="1"/>
    <col min="13830" max="13830" width="24" style="2" bestFit="1" customWidth="1"/>
    <col min="13831" max="13831" width="50.85546875" style="2" bestFit="1" customWidth="1"/>
    <col min="13832" max="13847" width="14.85546875" style="2" bestFit="1" customWidth="1"/>
    <col min="13848" max="14084" width="9.140625" style="2"/>
    <col min="14085" max="14085" width="10.5703125" style="2" bestFit="1" customWidth="1"/>
    <col min="14086" max="14086" width="24" style="2" bestFit="1" customWidth="1"/>
    <col min="14087" max="14087" width="50.85546875" style="2" bestFit="1" customWidth="1"/>
    <col min="14088" max="14103" width="14.85546875" style="2" bestFit="1" customWidth="1"/>
    <col min="14104" max="14340" width="9.140625" style="2"/>
    <col min="14341" max="14341" width="10.5703125" style="2" bestFit="1" customWidth="1"/>
    <col min="14342" max="14342" width="24" style="2" bestFit="1" customWidth="1"/>
    <col min="14343" max="14343" width="50.85546875" style="2" bestFit="1" customWidth="1"/>
    <col min="14344" max="14359" width="14.85546875" style="2" bestFit="1" customWidth="1"/>
    <col min="14360" max="14596" width="9.140625" style="2"/>
    <col min="14597" max="14597" width="10.5703125" style="2" bestFit="1" customWidth="1"/>
    <col min="14598" max="14598" width="24" style="2" bestFit="1" customWidth="1"/>
    <col min="14599" max="14599" width="50.85546875" style="2" bestFit="1" customWidth="1"/>
    <col min="14600" max="14615" width="14.85546875" style="2" bestFit="1" customWidth="1"/>
    <col min="14616" max="14852" width="9.140625" style="2"/>
    <col min="14853" max="14853" width="10.5703125" style="2" bestFit="1" customWidth="1"/>
    <col min="14854" max="14854" width="24" style="2" bestFit="1" customWidth="1"/>
    <col min="14855" max="14855" width="50.85546875" style="2" bestFit="1" customWidth="1"/>
    <col min="14856" max="14871" width="14.85546875" style="2" bestFit="1" customWidth="1"/>
    <col min="14872" max="15108" width="9.140625" style="2"/>
    <col min="15109" max="15109" width="10.5703125" style="2" bestFit="1" customWidth="1"/>
    <col min="15110" max="15110" width="24" style="2" bestFit="1" customWidth="1"/>
    <col min="15111" max="15111" width="50.85546875" style="2" bestFit="1" customWidth="1"/>
    <col min="15112" max="15127" width="14.85546875" style="2" bestFit="1" customWidth="1"/>
    <col min="15128" max="15364" width="9.140625" style="2"/>
    <col min="15365" max="15365" width="10.5703125" style="2" bestFit="1" customWidth="1"/>
    <col min="15366" max="15366" width="24" style="2" bestFit="1" customWidth="1"/>
    <col min="15367" max="15367" width="50.85546875" style="2" bestFit="1" customWidth="1"/>
    <col min="15368" max="15383" width="14.85546875" style="2" bestFit="1" customWidth="1"/>
    <col min="15384" max="15620" width="9.140625" style="2"/>
    <col min="15621" max="15621" width="10.5703125" style="2" bestFit="1" customWidth="1"/>
    <col min="15622" max="15622" width="24" style="2" bestFit="1" customWidth="1"/>
    <col min="15623" max="15623" width="50.85546875" style="2" bestFit="1" customWidth="1"/>
    <col min="15624" max="15639" width="14.85546875" style="2" bestFit="1" customWidth="1"/>
    <col min="15640" max="15876" width="9.140625" style="2"/>
    <col min="15877" max="15877" width="10.5703125" style="2" bestFit="1" customWidth="1"/>
    <col min="15878" max="15878" width="24" style="2" bestFit="1" customWidth="1"/>
    <col min="15879" max="15879" width="50.85546875" style="2" bestFit="1" customWidth="1"/>
    <col min="15880" max="15895" width="14.85546875" style="2" bestFit="1" customWidth="1"/>
    <col min="15896" max="16132" width="9.140625" style="2"/>
    <col min="16133" max="16133" width="10.5703125" style="2" bestFit="1" customWidth="1"/>
    <col min="16134" max="16134" width="24" style="2" bestFit="1" customWidth="1"/>
    <col min="16135" max="16135" width="50.85546875" style="2" bestFit="1" customWidth="1"/>
    <col min="16136" max="16151" width="14.85546875" style="2" bestFit="1" customWidth="1"/>
    <col min="16152" max="16384" width="9.140625" style="2"/>
  </cols>
  <sheetData>
    <row r="1" spans="1:25" ht="18.75" x14ac:dyDescent="0.3">
      <c r="A1" s="7" t="s">
        <v>655</v>
      </c>
    </row>
    <row r="2" spans="1:25" x14ac:dyDescent="0.25">
      <c r="A2" s="12" t="s">
        <v>698</v>
      </c>
    </row>
    <row r="3" spans="1:25" x14ac:dyDescent="0.25">
      <c r="D3" s="11" t="s">
        <v>0</v>
      </c>
      <c r="E3" s="11"/>
      <c r="F3" s="11" t="s">
        <v>1</v>
      </c>
      <c r="G3" s="11"/>
      <c r="H3" s="11" t="s">
        <v>2</v>
      </c>
      <c r="I3" s="11"/>
      <c r="J3" s="11" t="s">
        <v>3</v>
      </c>
      <c r="K3" s="11"/>
      <c r="L3" s="11" t="s">
        <v>4</v>
      </c>
      <c r="M3" s="11"/>
      <c r="N3" s="11" t="s">
        <v>5</v>
      </c>
      <c r="O3" s="11"/>
      <c r="P3" s="11" t="s">
        <v>6</v>
      </c>
      <c r="Q3" s="11"/>
      <c r="R3" s="11" t="s">
        <v>7</v>
      </c>
      <c r="S3" s="11"/>
      <c r="T3" s="11" t="s">
        <v>656</v>
      </c>
      <c r="U3" s="11"/>
      <c r="V3" s="11" t="s">
        <v>657</v>
      </c>
      <c r="W3" s="11"/>
      <c r="X3" s="11" t="s">
        <v>653</v>
      </c>
      <c r="Y3" s="11"/>
    </row>
    <row r="4" spans="1:25" x14ac:dyDescent="0.25">
      <c r="A4" s="1" t="s">
        <v>8</v>
      </c>
      <c r="B4" s="1" t="s">
        <v>9</v>
      </c>
      <c r="C4" s="1" t="s">
        <v>10</v>
      </c>
      <c r="D4" s="3" t="s">
        <v>651</v>
      </c>
      <c r="E4" s="3" t="s">
        <v>652</v>
      </c>
      <c r="F4" s="3" t="s">
        <v>651</v>
      </c>
      <c r="G4" s="3" t="s">
        <v>652</v>
      </c>
      <c r="H4" s="3" t="s">
        <v>651</v>
      </c>
      <c r="I4" s="3" t="s">
        <v>652</v>
      </c>
      <c r="J4" s="3" t="s">
        <v>651</v>
      </c>
      <c r="K4" s="3" t="s">
        <v>652</v>
      </c>
      <c r="L4" s="3" t="s">
        <v>651</v>
      </c>
      <c r="M4" s="3" t="s">
        <v>652</v>
      </c>
      <c r="N4" s="3" t="s">
        <v>651</v>
      </c>
      <c r="O4" s="3" t="s">
        <v>652</v>
      </c>
      <c r="P4" s="3" t="s">
        <v>651</v>
      </c>
      <c r="Q4" s="3" t="s">
        <v>652</v>
      </c>
      <c r="R4" s="3" t="s">
        <v>651</v>
      </c>
      <c r="S4" s="3" t="s">
        <v>652</v>
      </c>
      <c r="T4" s="3" t="s">
        <v>651</v>
      </c>
      <c r="U4" s="3" t="s">
        <v>652</v>
      </c>
      <c r="V4" s="3" t="s">
        <v>651</v>
      </c>
      <c r="W4" s="3" t="s">
        <v>652</v>
      </c>
      <c r="X4" s="3" t="s">
        <v>651</v>
      </c>
      <c r="Y4" s="3" t="s">
        <v>652</v>
      </c>
    </row>
    <row r="5" spans="1:25" s="4" customFormat="1" ht="30" customHeight="1" thickBot="1" x14ac:dyDescent="0.3">
      <c r="A5" s="8"/>
      <c r="B5" s="8"/>
      <c r="C5" s="8" t="s">
        <v>654</v>
      </c>
      <c r="D5" s="9">
        <f t="shared" ref="D5:Y5" si="0">SUM(D6:D330)</f>
        <v>45987</v>
      </c>
      <c r="E5" s="10">
        <f t="shared" si="0"/>
        <v>40701.700000000004</v>
      </c>
      <c r="F5" s="9">
        <f t="shared" si="0"/>
        <v>50953</v>
      </c>
      <c r="G5" s="10">
        <f t="shared" si="0"/>
        <v>44562.360000000008</v>
      </c>
      <c r="H5" s="9">
        <f t="shared" si="0"/>
        <v>53087</v>
      </c>
      <c r="I5" s="10">
        <f t="shared" si="0"/>
        <v>46267.759999999995</v>
      </c>
      <c r="J5" s="9">
        <f t="shared" si="0"/>
        <v>54031</v>
      </c>
      <c r="K5" s="10">
        <f t="shared" si="0"/>
        <v>46947.049999999996</v>
      </c>
      <c r="L5" s="9">
        <f t="shared" si="0"/>
        <v>54153</v>
      </c>
      <c r="M5" s="10">
        <f t="shared" si="0"/>
        <v>47060.6</v>
      </c>
      <c r="N5" s="9">
        <f t="shared" si="0"/>
        <v>56090</v>
      </c>
      <c r="O5" s="10">
        <f t="shared" si="0"/>
        <v>48751.87999999999</v>
      </c>
      <c r="P5" s="9">
        <f t="shared" si="0"/>
        <v>57942</v>
      </c>
      <c r="Q5" s="10">
        <f t="shared" si="0"/>
        <v>50101.749999999985</v>
      </c>
      <c r="R5" s="9">
        <f t="shared" si="0"/>
        <v>58697</v>
      </c>
      <c r="S5" s="10">
        <f t="shared" si="0"/>
        <v>50781.889999999985</v>
      </c>
      <c r="T5" s="9">
        <f t="shared" ref="T5" si="1">SUM(T6:T330)</f>
        <v>58635</v>
      </c>
      <c r="U5" s="10">
        <f t="shared" ref="U5" si="2">SUM(U6:U330)</f>
        <v>50626.840000000004</v>
      </c>
      <c r="V5" s="9">
        <f t="shared" ref="V5" si="3">SUM(V6:V330)</f>
        <v>57863</v>
      </c>
      <c r="W5" s="10">
        <f t="shared" ref="W5" si="4">SUM(W6:W330)</f>
        <v>49942.319999999956</v>
      </c>
      <c r="X5" s="10">
        <f t="shared" si="0"/>
        <v>54743.800000000061</v>
      </c>
      <c r="Y5" s="10">
        <f t="shared" si="0"/>
        <v>47574.460000000028</v>
      </c>
    </row>
    <row r="6" spans="1:25" x14ac:dyDescent="0.25">
      <c r="A6" s="2" t="s">
        <v>150</v>
      </c>
      <c r="B6" s="2" t="s">
        <v>151</v>
      </c>
      <c r="C6" s="2" t="s">
        <v>152</v>
      </c>
      <c r="D6" s="5">
        <v>53</v>
      </c>
      <c r="E6" s="6">
        <v>51.07</v>
      </c>
      <c r="F6" s="5">
        <v>66</v>
      </c>
      <c r="G6" s="6">
        <v>63.46</v>
      </c>
      <c r="H6" s="5">
        <v>80</v>
      </c>
      <c r="I6" s="6">
        <v>76.05</v>
      </c>
      <c r="J6" s="5">
        <v>86</v>
      </c>
      <c r="K6" s="6">
        <v>81.98</v>
      </c>
      <c r="L6" s="5">
        <v>87</v>
      </c>
      <c r="M6" s="6">
        <v>82.83</v>
      </c>
      <c r="N6" s="5">
        <v>82</v>
      </c>
      <c r="O6" s="6">
        <v>77.11</v>
      </c>
      <c r="P6" s="5">
        <v>86</v>
      </c>
      <c r="Q6" s="6">
        <v>81.11</v>
      </c>
      <c r="R6" s="5">
        <v>88</v>
      </c>
      <c r="S6" s="6">
        <v>83.57</v>
      </c>
      <c r="T6" s="5">
        <v>90</v>
      </c>
      <c r="U6" s="6">
        <v>85.57</v>
      </c>
      <c r="V6" s="5">
        <v>86</v>
      </c>
      <c r="W6" s="6">
        <v>82.53</v>
      </c>
      <c r="X6" s="6">
        <f t="shared" ref="X6:Y69" si="5">ROUND((R6+P6+N6+L6+J6+H6+D6+F6+T6+V6)/10,2)</f>
        <v>80.400000000000006</v>
      </c>
      <c r="Y6" s="6">
        <f t="shared" si="5"/>
        <v>76.53</v>
      </c>
    </row>
    <row r="7" spans="1:25" x14ac:dyDescent="0.25">
      <c r="A7" s="2" t="s">
        <v>410</v>
      </c>
      <c r="B7" s="2" t="s">
        <v>411</v>
      </c>
      <c r="C7" s="2" t="s">
        <v>412</v>
      </c>
      <c r="D7" s="5">
        <v>53</v>
      </c>
      <c r="E7" s="6">
        <v>45.81</v>
      </c>
      <c r="F7" s="5">
        <v>53</v>
      </c>
      <c r="G7" s="6">
        <v>45.81</v>
      </c>
      <c r="H7" s="5">
        <v>52</v>
      </c>
      <c r="I7" s="6">
        <v>45.34</v>
      </c>
      <c r="J7" s="5">
        <v>50</v>
      </c>
      <c r="K7" s="6">
        <v>43.87</v>
      </c>
      <c r="L7" s="5">
        <v>50</v>
      </c>
      <c r="M7" s="6">
        <v>44.4</v>
      </c>
      <c r="N7" s="5">
        <v>52</v>
      </c>
      <c r="O7" s="6">
        <v>45.19</v>
      </c>
      <c r="P7" s="5">
        <v>55</v>
      </c>
      <c r="Q7" s="6">
        <v>47.66</v>
      </c>
      <c r="R7" s="5">
        <v>58</v>
      </c>
      <c r="S7" s="6">
        <v>50.66</v>
      </c>
      <c r="T7" s="5">
        <v>56</v>
      </c>
      <c r="U7" s="6">
        <v>48.66</v>
      </c>
      <c r="V7" s="5">
        <v>58</v>
      </c>
      <c r="W7" s="6">
        <v>50.13</v>
      </c>
      <c r="X7" s="6">
        <f t="shared" si="5"/>
        <v>53.7</v>
      </c>
      <c r="Y7" s="6">
        <f t="shared" si="5"/>
        <v>46.75</v>
      </c>
    </row>
    <row r="8" spans="1:25" x14ac:dyDescent="0.25">
      <c r="A8" s="2" t="s">
        <v>442</v>
      </c>
      <c r="B8" s="2" t="s">
        <v>443</v>
      </c>
      <c r="C8" s="2" t="s">
        <v>444</v>
      </c>
      <c r="D8" s="5">
        <v>329</v>
      </c>
      <c r="E8" s="6">
        <v>241.55</v>
      </c>
      <c r="F8" s="5">
        <v>370</v>
      </c>
      <c r="G8" s="6">
        <v>260.48</v>
      </c>
      <c r="H8" s="5">
        <v>392</v>
      </c>
      <c r="I8" s="6">
        <v>272.54000000000002</v>
      </c>
      <c r="J8" s="5">
        <v>401</v>
      </c>
      <c r="K8" s="6">
        <v>278.37</v>
      </c>
      <c r="L8" s="5">
        <v>404</v>
      </c>
      <c r="M8" s="6">
        <v>283.39</v>
      </c>
      <c r="N8" s="5">
        <v>412</v>
      </c>
      <c r="O8" s="6">
        <v>286.43</v>
      </c>
      <c r="P8" s="5">
        <v>446</v>
      </c>
      <c r="Q8" s="6">
        <v>302.02000000000004</v>
      </c>
      <c r="R8" s="5">
        <v>444</v>
      </c>
      <c r="S8" s="6">
        <v>301.85000000000002</v>
      </c>
      <c r="T8" s="5">
        <v>440</v>
      </c>
      <c r="U8" s="6">
        <v>304.39999999999998</v>
      </c>
      <c r="V8" s="5">
        <v>400</v>
      </c>
      <c r="W8" s="6">
        <v>291.45</v>
      </c>
      <c r="X8" s="6">
        <f t="shared" si="5"/>
        <v>403.8</v>
      </c>
      <c r="Y8" s="6">
        <f t="shared" si="5"/>
        <v>282.25</v>
      </c>
    </row>
    <row r="9" spans="1:25" x14ac:dyDescent="0.25">
      <c r="A9" s="2" t="s">
        <v>220</v>
      </c>
      <c r="B9" s="2" t="s">
        <v>221</v>
      </c>
      <c r="C9" s="2" t="s">
        <v>222</v>
      </c>
      <c r="D9" s="5">
        <v>18</v>
      </c>
      <c r="E9" s="6">
        <v>18</v>
      </c>
      <c r="F9" s="5">
        <v>18</v>
      </c>
      <c r="G9" s="6">
        <v>18</v>
      </c>
      <c r="H9" s="5">
        <v>16</v>
      </c>
      <c r="I9" s="6">
        <v>16</v>
      </c>
      <c r="J9" s="5">
        <v>13</v>
      </c>
      <c r="K9" s="6">
        <v>13</v>
      </c>
      <c r="L9" s="5">
        <v>10</v>
      </c>
      <c r="M9" s="6">
        <v>10</v>
      </c>
      <c r="N9" s="5">
        <v>6</v>
      </c>
      <c r="O9" s="6">
        <v>6</v>
      </c>
      <c r="P9" s="5">
        <v>3</v>
      </c>
      <c r="Q9" s="6">
        <v>3</v>
      </c>
      <c r="R9" s="5">
        <v>3</v>
      </c>
      <c r="S9" s="6">
        <v>3</v>
      </c>
      <c r="T9" s="5">
        <v>1</v>
      </c>
      <c r="U9" s="6">
        <v>1</v>
      </c>
      <c r="V9" s="5">
        <v>1</v>
      </c>
      <c r="W9" s="6">
        <v>1</v>
      </c>
      <c r="X9" s="6">
        <f t="shared" si="5"/>
        <v>8.9</v>
      </c>
      <c r="Y9" s="6">
        <f t="shared" si="5"/>
        <v>8.9</v>
      </c>
    </row>
    <row r="10" spans="1:25" x14ac:dyDescent="0.25">
      <c r="A10" s="2" t="s">
        <v>220</v>
      </c>
      <c r="B10" s="2" t="s">
        <v>221</v>
      </c>
      <c r="C10" s="2" t="s">
        <v>223</v>
      </c>
      <c r="D10" s="5">
        <v>249</v>
      </c>
      <c r="E10" s="6">
        <v>249</v>
      </c>
      <c r="F10" s="5">
        <v>340</v>
      </c>
      <c r="G10" s="6">
        <v>339.85</v>
      </c>
      <c r="H10" s="5">
        <v>367</v>
      </c>
      <c r="I10" s="6">
        <v>366.85</v>
      </c>
      <c r="J10" s="5">
        <v>365</v>
      </c>
      <c r="K10" s="6">
        <v>362.2</v>
      </c>
      <c r="L10" s="5">
        <v>344</v>
      </c>
      <c r="M10" s="6">
        <v>341.7</v>
      </c>
      <c r="N10" s="5">
        <v>356</v>
      </c>
      <c r="O10" s="6">
        <v>354.95</v>
      </c>
      <c r="P10" s="5">
        <v>376</v>
      </c>
      <c r="Q10" s="6">
        <v>374.7</v>
      </c>
      <c r="R10" s="5">
        <v>376</v>
      </c>
      <c r="S10" s="6">
        <v>374.7</v>
      </c>
      <c r="T10" s="5">
        <v>362</v>
      </c>
      <c r="U10" s="6">
        <v>359.85</v>
      </c>
      <c r="V10" s="5">
        <v>354</v>
      </c>
      <c r="W10" s="6">
        <v>352.1</v>
      </c>
      <c r="X10" s="6">
        <f t="shared" si="5"/>
        <v>348.9</v>
      </c>
      <c r="Y10" s="6">
        <f t="shared" si="5"/>
        <v>347.59</v>
      </c>
    </row>
    <row r="11" spans="1:25" x14ac:dyDescent="0.25">
      <c r="A11" s="2" t="s">
        <v>261</v>
      </c>
      <c r="B11" s="2" t="s">
        <v>262</v>
      </c>
      <c r="C11" s="2" t="s">
        <v>263</v>
      </c>
      <c r="D11" s="5">
        <v>4</v>
      </c>
      <c r="E11" s="6">
        <v>0.7</v>
      </c>
      <c r="F11" s="5">
        <v>22</v>
      </c>
      <c r="G11" s="6">
        <v>5.23</v>
      </c>
      <c r="H11" s="5">
        <v>36</v>
      </c>
      <c r="I11" s="6">
        <v>9.82</v>
      </c>
      <c r="J11" s="5">
        <v>38</v>
      </c>
      <c r="K11" s="6">
        <v>10.969999999999999</v>
      </c>
      <c r="L11" s="5">
        <v>36</v>
      </c>
      <c r="M11" s="6">
        <v>11.74</v>
      </c>
      <c r="N11" s="5">
        <v>38</v>
      </c>
      <c r="O11" s="6">
        <v>12.809999999999999</v>
      </c>
      <c r="P11" s="5">
        <v>48</v>
      </c>
      <c r="Q11" s="6">
        <v>15.06</v>
      </c>
      <c r="R11" s="5">
        <v>48</v>
      </c>
      <c r="S11" s="6">
        <v>15.52</v>
      </c>
      <c r="T11" s="5">
        <v>48</v>
      </c>
      <c r="U11" s="6">
        <v>15.49</v>
      </c>
      <c r="V11" s="5">
        <v>45</v>
      </c>
      <c r="W11" s="6">
        <v>12.6</v>
      </c>
      <c r="X11" s="6">
        <f t="shared" si="5"/>
        <v>36.299999999999997</v>
      </c>
      <c r="Y11" s="6">
        <f t="shared" si="5"/>
        <v>10.99</v>
      </c>
    </row>
    <row r="12" spans="1:25" x14ac:dyDescent="0.25">
      <c r="A12" s="2" t="s">
        <v>261</v>
      </c>
      <c r="B12" s="2" t="s">
        <v>262</v>
      </c>
      <c r="C12" s="2" t="s">
        <v>264</v>
      </c>
      <c r="D12" s="5">
        <v>62</v>
      </c>
      <c r="E12" s="6">
        <v>61.32</v>
      </c>
      <c r="F12" s="5">
        <v>61</v>
      </c>
      <c r="G12" s="6">
        <v>59.64</v>
      </c>
      <c r="H12" s="5">
        <v>63</v>
      </c>
      <c r="I12" s="6">
        <v>61.14</v>
      </c>
      <c r="J12" s="5">
        <v>59</v>
      </c>
      <c r="K12" s="6">
        <v>57.14</v>
      </c>
      <c r="L12" s="5">
        <v>59</v>
      </c>
      <c r="M12" s="6">
        <v>57.14</v>
      </c>
      <c r="N12" s="5">
        <v>61</v>
      </c>
      <c r="O12" s="6">
        <v>58.64</v>
      </c>
      <c r="P12" s="5">
        <v>59</v>
      </c>
      <c r="Q12" s="6">
        <v>56.64</v>
      </c>
      <c r="R12" s="5">
        <v>58</v>
      </c>
      <c r="S12" s="6">
        <v>55.64</v>
      </c>
      <c r="T12" s="5">
        <v>57</v>
      </c>
      <c r="U12" s="6">
        <v>54.64</v>
      </c>
      <c r="V12" s="5">
        <v>58</v>
      </c>
      <c r="W12" s="6">
        <v>55.64</v>
      </c>
      <c r="X12" s="6">
        <f t="shared" si="5"/>
        <v>59.7</v>
      </c>
      <c r="Y12" s="6">
        <f t="shared" si="5"/>
        <v>57.76</v>
      </c>
    </row>
    <row r="13" spans="1:25" x14ac:dyDescent="0.25">
      <c r="A13" s="2" t="s">
        <v>84</v>
      </c>
      <c r="B13" s="2" t="s">
        <v>85</v>
      </c>
      <c r="C13" s="2" t="s">
        <v>86</v>
      </c>
      <c r="D13" s="5">
        <v>372</v>
      </c>
      <c r="E13" s="6">
        <v>353.35</v>
      </c>
      <c r="F13" s="5">
        <v>419</v>
      </c>
      <c r="G13" s="6">
        <v>400.59</v>
      </c>
      <c r="H13" s="5">
        <v>432</v>
      </c>
      <c r="I13" s="6">
        <v>413.88000000000005</v>
      </c>
      <c r="J13" s="5">
        <v>442</v>
      </c>
      <c r="K13" s="6">
        <v>423.53</v>
      </c>
      <c r="L13" s="5">
        <v>440</v>
      </c>
      <c r="M13" s="6">
        <v>422.02</v>
      </c>
      <c r="N13" s="5">
        <v>449</v>
      </c>
      <c r="O13" s="6">
        <v>421.4</v>
      </c>
      <c r="P13" s="5">
        <v>457</v>
      </c>
      <c r="Q13" s="6">
        <v>434.71</v>
      </c>
      <c r="R13" s="5">
        <v>458</v>
      </c>
      <c r="S13" s="6">
        <v>440.75999999999993</v>
      </c>
      <c r="T13" s="5">
        <v>461</v>
      </c>
      <c r="U13" s="6">
        <v>437.53999999999996</v>
      </c>
      <c r="V13" s="5">
        <v>454</v>
      </c>
      <c r="W13" s="6">
        <v>425.47999999999996</v>
      </c>
      <c r="X13" s="6">
        <f t="shared" si="5"/>
        <v>438.4</v>
      </c>
      <c r="Y13" s="6">
        <f t="shared" si="5"/>
        <v>417.33</v>
      </c>
    </row>
    <row r="14" spans="1:25" x14ac:dyDescent="0.25">
      <c r="A14" s="2" t="s">
        <v>84</v>
      </c>
      <c r="B14" s="2" t="s">
        <v>85</v>
      </c>
      <c r="C14" s="2" t="s">
        <v>87</v>
      </c>
      <c r="D14" s="5">
        <v>482</v>
      </c>
      <c r="E14" s="6">
        <v>463.22</v>
      </c>
      <c r="F14" s="5">
        <v>484</v>
      </c>
      <c r="G14" s="6">
        <v>464.74</v>
      </c>
      <c r="H14" s="5">
        <v>484</v>
      </c>
      <c r="I14" s="6">
        <v>464.73999999999995</v>
      </c>
      <c r="J14" s="5">
        <v>486</v>
      </c>
      <c r="K14" s="6">
        <v>466.74</v>
      </c>
      <c r="L14" s="5">
        <v>485</v>
      </c>
      <c r="M14" s="6">
        <v>465.73999999999995</v>
      </c>
      <c r="N14" s="5">
        <v>478</v>
      </c>
      <c r="O14" s="6">
        <v>459.85999999999996</v>
      </c>
      <c r="P14" s="5">
        <v>473</v>
      </c>
      <c r="Q14" s="6">
        <v>455.06</v>
      </c>
      <c r="R14" s="5">
        <v>469</v>
      </c>
      <c r="S14" s="6">
        <v>451.05999999999995</v>
      </c>
      <c r="T14" s="5">
        <v>465</v>
      </c>
      <c r="U14" s="6">
        <v>447.05999999999995</v>
      </c>
      <c r="V14" s="5">
        <v>464</v>
      </c>
      <c r="W14" s="6">
        <v>446.06</v>
      </c>
      <c r="X14" s="6">
        <f t="shared" si="5"/>
        <v>477</v>
      </c>
      <c r="Y14" s="6">
        <f t="shared" si="5"/>
        <v>458.43</v>
      </c>
    </row>
    <row r="15" spans="1:25" x14ac:dyDescent="0.25">
      <c r="A15" s="2" t="s">
        <v>84</v>
      </c>
      <c r="B15" s="2" t="s">
        <v>85</v>
      </c>
      <c r="C15" s="2" t="s">
        <v>88</v>
      </c>
      <c r="D15" s="5">
        <v>949</v>
      </c>
      <c r="E15" s="6">
        <v>837.16</v>
      </c>
      <c r="F15" s="5">
        <v>958</v>
      </c>
      <c r="G15" s="6">
        <v>844.12</v>
      </c>
      <c r="H15" s="5">
        <v>959</v>
      </c>
      <c r="I15" s="6">
        <v>840.11999999999989</v>
      </c>
      <c r="J15" s="5">
        <v>956</v>
      </c>
      <c r="K15" s="6">
        <v>836.26999999999987</v>
      </c>
      <c r="L15" s="5">
        <v>956</v>
      </c>
      <c r="M15" s="6">
        <v>835.76999999999987</v>
      </c>
      <c r="N15" s="5">
        <v>955</v>
      </c>
      <c r="O15" s="6">
        <v>835.11</v>
      </c>
      <c r="P15" s="5">
        <v>955</v>
      </c>
      <c r="Q15" s="6">
        <v>832.28</v>
      </c>
      <c r="R15" s="5">
        <v>951</v>
      </c>
      <c r="S15" s="6">
        <v>829.44999999999982</v>
      </c>
      <c r="T15" s="5">
        <v>948</v>
      </c>
      <c r="U15" s="6">
        <v>825.02999999999986</v>
      </c>
      <c r="V15" s="5">
        <v>946</v>
      </c>
      <c r="W15" s="6">
        <v>823.26</v>
      </c>
      <c r="X15" s="6">
        <f t="shared" si="5"/>
        <v>953.3</v>
      </c>
      <c r="Y15" s="6">
        <f t="shared" si="5"/>
        <v>833.86</v>
      </c>
    </row>
    <row r="16" spans="1:25" x14ac:dyDescent="0.25">
      <c r="A16" s="2" t="s">
        <v>84</v>
      </c>
      <c r="B16" s="2" t="s">
        <v>85</v>
      </c>
      <c r="C16" s="2" t="s">
        <v>89</v>
      </c>
      <c r="D16" s="5">
        <v>309</v>
      </c>
      <c r="E16" s="6">
        <v>300.75</v>
      </c>
      <c r="F16" s="5">
        <v>322</v>
      </c>
      <c r="G16" s="6">
        <v>312.85000000000002</v>
      </c>
      <c r="H16" s="5">
        <v>338</v>
      </c>
      <c r="I16" s="6">
        <v>329</v>
      </c>
      <c r="J16" s="5">
        <v>334</v>
      </c>
      <c r="K16" s="6">
        <v>325.25</v>
      </c>
      <c r="L16" s="5">
        <v>336</v>
      </c>
      <c r="M16" s="6">
        <v>326.75</v>
      </c>
      <c r="N16" s="5">
        <v>366</v>
      </c>
      <c r="O16" s="6">
        <v>354.61</v>
      </c>
      <c r="P16" s="5">
        <v>353</v>
      </c>
      <c r="Q16" s="6">
        <v>340.01</v>
      </c>
      <c r="R16" s="5">
        <v>343</v>
      </c>
      <c r="S16" s="6">
        <v>330.1</v>
      </c>
      <c r="T16" s="5">
        <v>355</v>
      </c>
      <c r="U16" s="6">
        <v>338.9</v>
      </c>
      <c r="V16" s="5">
        <v>341</v>
      </c>
      <c r="W16" s="6">
        <v>314.85000000000002</v>
      </c>
      <c r="X16" s="6">
        <f t="shared" si="5"/>
        <v>339.7</v>
      </c>
      <c r="Y16" s="6">
        <f t="shared" si="5"/>
        <v>327.31</v>
      </c>
    </row>
    <row r="17" spans="1:25" x14ac:dyDescent="0.25">
      <c r="A17" s="2" t="s">
        <v>658</v>
      </c>
      <c r="B17" s="2" t="s">
        <v>659</v>
      </c>
      <c r="C17" s="2" t="s">
        <v>213</v>
      </c>
      <c r="D17" s="5">
        <v>0</v>
      </c>
      <c r="E17" s="6">
        <v>0</v>
      </c>
      <c r="F17" s="5">
        <v>53</v>
      </c>
      <c r="G17" s="6">
        <v>27.03</v>
      </c>
      <c r="H17" s="5">
        <v>64</v>
      </c>
      <c r="I17" s="6">
        <v>31.59</v>
      </c>
      <c r="J17" s="5">
        <v>65</v>
      </c>
      <c r="K17" s="6">
        <v>31.93</v>
      </c>
      <c r="L17" s="5">
        <v>67</v>
      </c>
      <c r="M17" s="6">
        <v>32.44</v>
      </c>
      <c r="N17" s="5">
        <v>81</v>
      </c>
      <c r="O17" s="6">
        <v>41.54</v>
      </c>
      <c r="P17" s="5">
        <v>91</v>
      </c>
      <c r="Q17" s="6">
        <v>42.97</v>
      </c>
      <c r="R17" s="5">
        <v>100</v>
      </c>
      <c r="S17" s="6">
        <v>49.94</v>
      </c>
      <c r="T17" s="5">
        <v>99</v>
      </c>
      <c r="U17" s="6">
        <v>52.77</v>
      </c>
      <c r="V17" s="5">
        <v>105</v>
      </c>
      <c r="W17" s="6">
        <v>53.23</v>
      </c>
      <c r="X17" s="6">
        <f t="shared" si="5"/>
        <v>72.5</v>
      </c>
      <c r="Y17" s="6">
        <f t="shared" si="5"/>
        <v>36.340000000000003</v>
      </c>
    </row>
    <row r="18" spans="1:25" x14ac:dyDescent="0.25">
      <c r="A18" s="2" t="s">
        <v>658</v>
      </c>
      <c r="B18" s="2" t="s">
        <v>659</v>
      </c>
      <c r="C18" s="2" t="s">
        <v>214</v>
      </c>
      <c r="D18" s="5">
        <v>187</v>
      </c>
      <c r="E18" s="6">
        <v>181.74</v>
      </c>
      <c r="F18" s="5">
        <v>212</v>
      </c>
      <c r="G18" s="6">
        <v>179.95000000000002</v>
      </c>
      <c r="H18" s="5">
        <v>248</v>
      </c>
      <c r="I18" s="6">
        <v>203.52</v>
      </c>
      <c r="J18" s="5">
        <v>266</v>
      </c>
      <c r="K18" s="6">
        <v>222.33999999999997</v>
      </c>
      <c r="L18" s="5">
        <v>271</v>
      </c>
      <c r="M18" s="6">
        <v>225.25000000000003</v>
      </c>
      <c r="N18" s="5">
        <v>290</v>
      </c>
      <c r="O18" s="6">
        <v>241.41</v>
      </c>
      <c r="P18" s="5">
        <v>303</v>
      </c>
      <c r="Q18" s="6">
        <v>247.6</v>
      </c>
      <c r="R18" s="5">
        <v>322</v>
      </c>
      <c r="S18" s="6">
        <v>260.75</v>
      </c>
      <c r="T18" s="5">
        <v>327</v>
      </c>
      <c r="U18" s="6">
        <v>265.58999999999997</v>
      </c>
      <c r="V18" s="5">
        <v>330</v>
      </c>
      <c r="W18" s="6">
        <v>271.59999999999997</v>
      </c>
      <c r="X18" s="6">
        <f t="shared" si="5"/>
        <v>275.60000000000002</v>
      </c>
      <c r="Y18" s="6">
        <f t="shared" si="5"/>
        <v>229.98</v>
      </c>
    </row>
    <row r="19" spans="1:25" x14ac:dyDescent="0.25">
      <c r="A19" s="2" t="s">
        <v>588</v>
      </c>
      <c r="B19" s="2" t="s">
        <v>589</v>
      </c>
      <c r="C19" s="2" t="s">
        <v>590</v>
      </c>
      <c r="D19" s="5">
        <v>268</v>
      </c>
      <c r="E19" s="6">
        <v>257.48</v>
      </c>
      <c r="F19" s="5">
        <v>271</v>
      </c>
      <c r="G19" s="6">
        <v>261.45999999999998</v>
      </c>
      <c r="H19" s="5">
        <v>282</v>
      </c>
      <c r="I19" s="6">
        <v>271.02999999999997</v>
      </c>
      <c r="J19" s="5">
        <v>291</v>
      </c>
      <c r="K19" s="6">
        <v>278.32</v>
      </c>
      <c r="L19" s="5">
        <v>296</v>
      </c>
      <c r="M19" s="6">
        <v>283.11</v>
      </c>
      <c r="N19" s="5">
        <v>294</v>
      </c>
      <c r="O19" s="6">
        <v>282.14999999999998</v>
      </c>
      <c r="P19" s="5">
        <v>304</v>
      </c>
      <c r="Q19" s="6">
        <v>291.23</v>
      </c>
      <c r="R19" s="5">
        <v>317</v>
      </c>
      <c r="S19" s="6">
        <v>303.08</v>
      </c>
      <c r="T19" s="5">
        <v>318</v>
      </c>
      <c r="U19" s="6">
        <v>304.42</v>
      </c>
      <c r="V19" s="5">
        <v>319</v>
      </c>
      <c r="W19" s="6">
        <v>306.28999999999996</v>
      </c>
      <c r="X19" s="6">
        <f t="shared" si="5"/>
        <v>296</v>
      </c>
      <c r="Y19" s="6">
        <f t="shared" si="5"/>
        <v>283.86</v>
      </c>
    </row>
    <row r="20" spans="1:25" x14ac:dyDescent="0.25">
      <c r="A20" s="2" t="s">
        <v>588</v>
      </c>
      <c r="B20" s="2" t="s">
        <v>589</v>
      </c>
      <c r="C20" s="2" t="s">
        <v>591</v>
      </c>
      <c r="D20" s="5">
        <v>39</v>
      </c>
      <c r="E20" s="6">
        <v>22.98</v>
      </c>
      <c r="F20" s="5">
        <v>61</v>
      </c>
      <c r="G20" s="6">
        <v>35.33</v>
      </c>
      <c r="H20" s="5">
        <v>72</v>
      </c>
      <c r="I20" s="6">
        <v>43.899999999999991</v>
      </c>
      <c r="J20" s="5">
        <v>79</v>
      </c>
      <c r="K20" s="6">
        <v>47.519999999999996</v>
      </c>
      <c r="L20" s="5">
        <v>79</v>
      </c>
      <c r="M20" s="6">
        <v>44.449999999999996</v>
      </c>
      <c r="N20" s="5">
        <v>62</v>
      </c>
      <c r="O20" s="6">
        <v>31.66</v>
      </c>
      <c r="P20" s="5">
        <v>80</v>
      </c>
      <c r="Q20" s="6">
        <v>43.46</v>
      </c>
      <c r="R20" s="5">
        <v>79</v>
      </c>
      <c r="S20" s="6">
        <v>42.98</v>
      </c>
      <c r="T20" s="5">
        <v>83</v>
      </c>
      <c r="U20" s="6">
        <v>45.39</v>
      </c>
      <c r="V20" s="5">
        <v>68</v>
      </c>
      <c r="W20" s="6">
        <v>36.46</v>
      </c>
      <c r="X20" s="6">
        <f t="shared" si="5"/>
        <v>70.2</v>
      </c>
      <c r="Y20" s="6">
        <f t="shared" si="5"/>
        <v>39.409999999999997</v>
      </c>
    </row>
    <row r="21" spans="1:25" x14ac:dyDescent="0.25">
      <c r="A21" s="2" t="s">
        <v>384</v>
      </c>
      <c r="B21" s="2" t="s">
        <v>385</v>
      </c>
      <c r="C21" s="2" t="s">
        <v>386</v>
      </c>
      <c r="D21" s="5">
        <v>302</v>
      </c>
      <c r="E21" s="6">
        <v>292</v>
      </c>
      <c r="F21" s="5">
        <v>317</v>
      </c>
      <c r="G21" s="6">
        <v>307.2</v>
      </c>
      <c r="H21" s="5">
        <v>323</v>
      </c>
      <c r="I21" s="6">
        <v>312.7</v>
      </c>
      <c r="J21" s="5">
        <v>335</v>
      </c>
      <c r="K21" s="6">
        <v>319.39999999999998</v>
      </c>
      <c r="L21" s="5">
        <v>333</v>
      </c>
      <c r="M21" s="6">
        <v>315.89999999999998</v>
      </c>
      <c r="N21" s="5">
        <v>345</v>
      </c>
      <c r="O21" s="6">
        <v>327.95</v>
      </c>
      <c r="P21" s="5">
        <v>344</v>
      </c>
      <c r="Q21" s="6">
        <v>326.2</v>
      </c>
      <c r="R21" s="5">
        <v>336</v>
      </c>
      <c r="S21" s="6">
        <v>317.06</v>
      </c>
      <c r="T21" s="5">
        <v>342</v>
      </c>
      <c r="U21" s="6">
        <v>322.86</v>
      </c>
      <c r="V21" s="5">
        <v>339</v>
      </c>
      <c r="W21" s="6">
        <v>319.86</v>
      </c>
      <c r="X21" s="6">
        <f t="shared" si="5"/>
        <v>331.6</v>
      </c>
      <c r="Y21" s="6">
        <f t="shared" si="5"/>
        <v>316.11</v>
      </c>
    </row>
    <row r="22" spans="1:25" x14ac:dyDescent="0.25">
      <c r="A22" s="2" t="s">
        <v>384</v>
      </c>
      <c r="B22" s="2" t="s">
        <v>385</v>
      </c>
      <c r="C22" s="2" t="s">
        <v>387</v>
      </c>
      <c r="D22" s="5">
        <v>516</v>
      </c>
      <c r="E22" s="6">
        <v>424.2</v>
      </c>
      <c r="F22" s="5">
        <v>594</v>
      </c>
      <c r="G22" s="6">
        <v>484.17999999999995</v>
      </c>
      <c r="H22" s="5">
        <v>629</v>
      </c>
      <c r="I22" s="6">
        <v>498.58000000000004</v>
      </c>
      <c r="J22" s="5">
        <v>646</v>
      </c>
      <c r="K22" s="6">
        <v>513.98</v>
      </c>
      <c r="L22" s="5">
        <v>710</v>
      </c>
      <c r="M22" s="6">
        <v>549.91</v>
      </c>
      <c r="N22" s="5">
        <v>728</v>
      </c>
      <c r="O22" s="6">
        <v>555.31000000000006</v>
      </c>
      <c r="P22" s="5">
        <v>740</v>
      </c>
      <c r="Q22" s="6">
        <v>559.11</v>
      </c>
      <c r="R22" s="5">
        <v>728</v>
      </c>
      <c r="S22" s="6">
        <v>595.91</v>
      </c>
      <c r="T22" s="5">
        <v>755</v>
      </c>
      <c r="U22" s="6">
        <v>607.70999999999992</v>
      </c>
      <c r="V22" s="5">
        <v>754</v>
      </c>
      <c r="W22" s="6">
        <v>605.91</v>
      </c>
      <c r="X22" s="6">
        <f t="shared" si="5"/>
        <v>680</v>
      </c>
      <c r="Y22" s="6">
        <f t="shared" si="5"/>
        <v>539.48</v>
      </c>
    </row>
    <row r="23" spans="1:25" x14ac:dyDescent="0.25">
      <c r="A23" s="2" t="s">
        <v>596</v>
      </c>
      <c r="B23" s="2" t="s">
        <v>597</v>
      </c>
      <c r="C23" s="2" t="s">
        <v>598</v>
      </c>
      <c r="D23" s="5">
        <v>28</v>
      </c>
      <c r="E23" s="6">
        <v>22.96</v>
      </c>
      <c r="F23" s="5">
        <v>31</v>
      </c>
      <c r="G23" s="6">
        <v>24.43</v>
      </c>
      <c r="H23" s="5">
        <v>33</v>
      </c>
      <c r="I23" s="6">
        <v>26.15</v>
      </c>
      <c r="J23" s="5">
        <v>34</v>
      </c>
      <c r="K23" s="6">
        <v>27.56</v>
      </c>
      <c r="L23" s="5">
        <v>35</v>
      </c>
      <c r="M23" s="6">
        <v>27.56</v>
      </c>
      <c r="N23" s="5">
        <v>39</v>
      </c>
      <c r="O23" s="6">
        <v>30.81</v>
      </c>
      <c r="P23" s="5">
        <v>39</v>
      </c>
      <c r="Q23" s="6">
        <v>30.81</v>
      </c>
      <c r="R23" s="5">
        <v>38</v>
      </c>
      <c r="S23" s="6">
        <v>30.54</v>
      </c>
      <c r="T23" s="5">
        <v>39</v>
      </c>
      <c r="U23" s="6">
        <v>31.4</v>
      </c>
      <c r="V23" s="5">
        <v>38</v>
      </c>
      <c r="W23" s="6">
        <v>30.4</v>
      </c>
      <c r="X23" s="6">
        <f t="shared" si="5"/>
        <v>35.4</v>
      </c>
      <c r="Y23" s="6">
        <f t="shared" si="5"/>
        <v>28.26</v>
      </c>
    </row>
    <row r="24" spans="1:25" x14ac:dyDescent="0.25">
      <c r="A24" s="2" t="s">
        <v>596</v>
      </c>
      <c r="B24" s="2" t="s">
        <v>597</v>
      </c>
      <c r="C24" s="2" t="s">
        <v>599</v>
      </c>
      <c r="D24" s="5">
        <v>1</v>
      </c>
      <c r="E24" s="6">
        <v>1</v>
      </c>
      <c r="F24" s="5">
        <v>2</v>
      </c>
      <c r="G24" s="6">
        <v>2</v>
      </c>
      <c r="H24" s="5">
        <v>4</v>
      </c>
      <c r="I24" s="6">
        <v>4</v>
      </c>
      <c r="J24" s="5">
        <v>4</v>
      </c>
      <c r="K24" s="6">
        <v>4</v>
      </c>
      <c r="L24" s="5">
        <v>4</v>
      </c>
      <c r="M24" s="6">
        <v>4</v>
      </c>
      <c r="N24" s="5">
        <v>2</v>
      </c>
      <c r="O24" s="6">
        <v>2</v>
      </c>
      <c r="P24" s="5">
        <v>3</v>
      </c>
      <c r="Q24" s="6">
        <v>3</v>
      </c>
      <c r="R24" s="5">
        <v>4</v>
      </c>
      <c r="S24" s="6">
        <v>4</v>
      </c>
      <c r="T24" s="5">
        <v>4</v>
      </c>
      <c r="U24" s="6">
        <v>4</v>
      </c>
      <c r="V24" s="5">
        <v>5</v>
      </c>
      <c r="W24" s="6">
        <v>5</v>
      </c>
      <c r="X24" s="6">
        <f t="shared" si="5"/>
        <v>3.3</v>
      </c>
      <c r="Y24" s="6">
        <f t="shared" si="5"/>
        <v>3.3</v>
      </c>
    </row>
    <row r="25" spans="1:25" x14ac:dyDescent="0.25">
      <c r="A25" s="2" t="s">
        <v>596</v>
      </c>
      <c r="B25" s="2" t="s">
        <v>597</v>
      </c>
      <c r="C25" s="2" t="s">
        <v>600</v>
      </c>
      <c r="D25" s="5">
        <v>44</v>
      </c>
      <c r="E25" s="6">
        <v>41.95</v>
      </c>
      <c r="F25" s="5">
        <v>44</v>
      </c>
      <c r="G25" s="6">
        <v>41.81</v>
      </c>
      <c r="H25" s="5">
        <v>50</v>
      </c>
      <c r="I25" s="6">
        <v>46.82</v>
      </c>
      <c r="J25" s="5">
        <v>47</v>
      </c>
      <c r="K25" s="6">
        <v>43.76</v>
      </c>
      <c r="L25" s="5">
        <v>47</v>
      </c>
      <c r="M25" s="6">
        <v>43.46</v>
      </c>
      <c r="N25" s="5">
        <v>47</v>
      </c>
      <c r="O25" s="6">
        <v>43.48</v>
      </c>
      <c r="P25" s="5">
        <v>52</v>
      </c>
      <c r="Q25" s="6">
        <v>48.34</v>
      </c>
      <c r="R25" s="5">
        <v>50</v>
      </c>
      <c r="S25" s="6">
        <v>46.34</v>
      </c>
      <c r="T25" s="5">
        <v>50</v>
      </c>
      <c r="U25" s="6">
        <v>46.34</v>
      </c>
      <c r="V25" s="5">
        <v>48</v>
      </c>
      <c r="W25" s="6">
        <v>44.35</v>
      </c>
      <c r="X25" s="6">
        <f t="shared" si="5"/>
        <v>47.9</v>
      </c>
      <c r="Y25" s="6">
        <f t="shared" si="5"/>
        <v>44.67</v>
      </c>
    </row>
    <row r="26" spans="1:25" x14ac:dyDescent="0.25">
      <c r="A26" s="2" t="s">
        <v>293</v>
      </c>
      <c r="B26" s="2" t="s">
        <v>294</v>
      </c>
      <c r="C26" s="2" t="s">
        <v>295</v>
      </c>
      <c r="D26" s="5">
        <v>175</v>
      </c>
      <c r="E26" s="6">
        <v>173.12</v>
      </c>
      <c r="F26" s="5">
        <v>197</v>
      </c>
      <c r="G26" s="6">
        <v>185.16</v>
      </c>
      <c r="H26" s="5">
        <v>202</v>
      </c>
      <c r="I26" s="6">
        <v>190.32</v>
      </c>
      <c r="J26" s="5">
        <v>211</v>
      </c>
      <c r="K26" s="6">
        <v>199.32000000000002</v>
      </c>
      <c r="L26" s="5">
        <v>214</v>
      </c>
      <c r="M26" s="6">
        <v>202.32000000000002</v>
      </c>
      <c r="N26" s="5">
        <v>233</v>
      </c>
      <c r="O26" s="6">
        <v>221.79999999999998</v>
      </c>
      <c r="P26" s="5">
        <v>236</v>
      </c>
      <c r="Q26" s="6">
        <v>225.47000000000006</v>
      </c>
      <c r="R26" s="5">
        <v>248</v>
      </c>
      <c r="S26" s="6">
        <v>239.93</v>
      </c>
      <c r="T26" s="5">
        <v>251</v>
      </c>
      <c r="U26" s="6">
        <v>242.93</v>
      </c>
      <c r="V26" s="5">
        <v>251</v>
      </c>
      <c r="W26" s="6">
        <v>242.93</v>
      </c>
      <c r="X26" s="6">
        <f t="shared" si="5"/>
        <v>221.8</v>
      </c>
      <c r="Y26" s="6">
        <f t="shared" si="5"/>
        <v>212.33</v>
      </c>
    </row>
    <row r="27" spans="1:25" x14ac:dyDescent="0.25">
      <c r="A27" s="2" t="s">
        <v>256</v>
      </c>
      <c r="B27" s="2" t="s">
        <v>257</v>
      </c>
      <c r="C27" s="2" t="s">
        <v>215</v>
      </c>
      <c r="D27" s="5">
        <v>42</v>
      </c>
      <c r="E27" s="6">
        <v>42</v>
      </c>
      <c r="F27" s="5">
        <v>64</v>
      </c>
      <c r="G27" s="6">
        <v>64</v>
      </c>
      <c r="H27" s="5">
        <v>73</v>
      </c>
      <c r="I27" s="6">
        <v>73</v>
      </c>
      <c r="J27" s="5">
        <v>72</v>
      </c>
      <c r="K27" s="6">
        <v>72</v>
      </c>
      <c r="L27" s="5">
        <v>69</v>
      </c>
      <c r="M27" s="6">
        <v>69</v>
      </c>
      <c r="N27" s="5">
        <v>73</v>
      </c>
      <c r="O27" s="6">
        <v>73</v>
      </c>
      <c r="P27" s="5">
        <v>82</v>
      </c>
      <c r="Q27" s="6">
        <v>82</v>
      </c>
      <c r="R27" s="5">
        <v>91</v>
      </c>
      <c r="S27" s="6">
        <v>91</v>
      </c>
      <c r="T27" s="5">
        <v>79</v>
      </c>
      <c r="U27" s="6">
        <v>79</v>
      </c>
      <c r="V27" s="5">
        <v>68</v>
      </c>
      <c r="W27" s="6">
        <v>68</v>
      </c>
      <c r="X27" s="6">
        <f t="shared" si="5"/>
        <v>71.3</v>
      </c>
      <c r="Y27" s="6">
        <f t="shared" si="5"/>
        <v>71.3</v>
      </c>
    </row>
    <row r="28" spans="1:25" x14ac:dyDescent="0.25">
      <c r="A28" s="2" t="s">
        <v>256</v>
      </c>
      <c r="B28" s="2" t="s">
        <v>257</v>
      </c>
      <c r="C28" s="2" t="s">
        <v>258</v>
      </c>
      <c r="D28" s="5">
        <v>68</v>
      </c>
      <c r="E28" s="6">
        <v>64.86</v>
      </c>
      <c r="F28" s="5">
        <v>75</v>
      </c>
      <c r="G28" s="6">
        <v>71.5</v>
      </c>
      <c r="H28" s="5">
        <v>75</v>
      </c>
      <c r="I28" s="6">
        <v>71</v>
      </c>
      <c r="J28" s="5">
        <v>78</v>
      </c>
      <c r="K28" s="6">
        <v>73.64</v>
      </c>
      <c r="L28" s="5">
        <v>78</v>
      </c>
      <c r="M28" s="6">
        <v>74</v>
      </c>
      <c r="N28" s="5">
        <v>74</v>
      </c>
      <c r="O28" s="6">
        <v>70</v>
      </c>
      <c r="P28" s="5">
        <v>78</v>
      </c>
      <c r="Q28" s="6">
        <v>74.5</v>
      </c>
      <c r="R28" s="5">
        <v>77</v>
      </c>
      <c r="S28" s="6">
        <v>73.06</v>
      </c>
      <c r="T28" s="5">
        <v>78</v>
      </c>
      <c r="U28" s="6">
        <v>73.94</v>
      </c>
      <c r="V28" s="5">
        <v>78</v>
      </c>
      <c r="W28" s="6">
        <v>73.94</v>
      </c>
      <c r="X28" s="6">
        <f t="shared" si="5"/>
        <v>75.900000000000006</v>
      </c>
      <c r="Y28" s="6">
        <f t="shared" si="5"/>
        <v>72.040000000000006</v>
      </c>
    </row>
    <row r="29" spans="1:25" x14ac:dyDescent="0.25">
      <c r="A29" s="2" t="s">
        <v>256</v>
      </c>
      <c r="B29" s="2" t="s">
        <v>257</v>
      </c>
      <c r="C29" s="2" t="s">
        <v>259</v>
      </c>
      <c r="D29" s="5">
        <v>66</v>
      </c>
      <c r="E29" s="6">
        <v>56.150000000000006</v>
      </c>
      <c r="F29" s="5">
        <v>75</v>
      </c>
      <c r="G29" s="6">
        <v>63.620000000000005</v>
      </c>
      <c r="H29" s="5">
        <v>77</v>
      </c>
      <c r="I29" s="6">
        <v>66.28</v>
      </c>
      <c r="J29" s="5">
        <v>84</v>
      </c>
      <c r="K29" s="6">
        <v>73.11</v>
      </c>
      <c r="L29" s="5">
        <v>84</v>
      </c>
      <c r="M29" s="6">
        <v>73.11</v>
      </c>
      <c r="N29" s="5">
        <v>85</v>
      </c>
      <c r="O29" s="6">
        <v>74.86</v>
      </c>
      <c r="P29" s="5">
        <v>82</v>
      </c>
      <c r="Q29" s="6">
        <v>73.94</v>
      </c>
      <c r="R29" s="5">
        <v>73</v>
      </c>
      <c r="S29" s="6">
        <v>65.099999999999994</v>
      </c>
      <c r="T29" s="5">
        <v>74</v>
      </c>
      <c r="U29" s="6">
        <v>66.819999999999993</v>
      </c>
      <c r="V29" s="5">
        <v>62</v>
      </c>
      <c r="W29" s="6">
        <v>55.09</v>
      </c>
      <c r="X29" s="6">
        <f t="shared" si="5"/>
        <v>76.2</v>
      </c>
      <c r="Y29" s="6">
        <f t="shared" si="5"/>
        <v>66.81</v>
      </c>
    </row>
    <row r="30" spans="1:25" x14ac:dyDescent="0.25">
      <c r="A30" s="2" t="s">
        <v>256</v>
      </c>
      <c r="B30" s="2" t="s">
        <v>257</v>
      </c>
      <c r="C30" s="2" t="s">
        <v>260</v>
      </c>
      <c r="D30" s="5">
        <v>72</v>
      </c>
      <c r="E30" s="6">
        <v>71.83</v>
      </c>
      <c r="F30" s="5">
        <v>73</v>
      </c>
      <c r="G30" s="6">
        <v>72.77</v>
      </c>
      <c r="H30" s="5">
        <v>75</v>
      </c>
      <c r="I30" s="6">
        <v>74.77</v>
      </c>
      <c r="J30" s="5">
        <v>74</v>
      </c>
      <c r="K30" s="6">
        <v>73.41</v>
      </c>
      <c r="L30" s="5">
        <v>79</v>
      </c>
      <c r="M30" s="6">
        <v>76.95</v>
      </c>
      <c r="N30" s="5">
        <v>83</v>
      </c>
      <c r="O30" s="6">
        <v>81.2</v>
      </c>
      <c r="P30" s="5">
        <v>82</v>
      </c>
      <c r="Q30" s="6">
        <v>80.2</v>
      </c>
      <c r="R30" s="5">
        <v>82</v>
      </c>
      <c r="S30" s="6">
        <v>80.92</v>
      </c>
      <c r="T30" s="5">
        <v>80</v>
      </c>
      <c r="U30" s="6">
        <v>79.48</v>
      </c>
      <c r="V30" s="5">
        <v>79</v>
      </c>
      <c r="W30" s="6">
        <v>78.48</v>
      </c>
      <c r="X30" s="6">
        <f t="shared" si="5"/>
        <v>77.900000000000006</v>
      </c>
      <c r="Y30" s="6">
        <f t="shared" si="5"/>
        <v>77</v>
      </c>
    </row>
    <row r="31" spans="1:25" x14ac:dyDescent="0.25">
      <c r="A31" s="2" t="s">
        <v>335</v>
      </c>
      <c r="B31" s="2" t="s">
        <v>336</v>
      </c>
      <c r="C31" s="2" t="s">
        <v>337</v>
      </c>
      <c r="D31" s="5">
        <v>15</v>
      </c>
      <c r="E31" s="6">
        <v>14.4</v>
      </c>
      <c r="F31" s="5">
        <v>14</v>
      </c>
      <c r="G31" s="6">
        <v>13.7</v>
      </c>
      <c r="H31" s="5">
        <v>13</v>
      </c>
      <c r="I31" s="6">
        <v>12.4</v>
      </c>
      <c r="J31" s="5">
        <v>13</v>
      </c>
      <c r="K31" s="6">
        <v>12.4</v>
      </c>
      <c r="L31" s="5">
        <v>15</v>
      </c>
      <c r="M31" s="6">
        <v>14.4</v>
      </c>
      <c r="N31" s="5">
        <v>14</v>
      </c>
      <c r="O31" s="6">
        <v>14</v>
      </c>
      <c r="P31" s="5">
        <v>14</v>
      </c>
      <c r="Q31" s="6">
        <v>14</v>
      </c>
      <c r="R31" s="5">
        <v>15</v>
      </c>
      <c r="S31" s="6">
        <v>15</v>
      </c>
      <c r="T31" s="5">
        <v>14</v>
      </c>
      <c r="U31" s="6">
        <v>14</v>
      </c>
      <c r="V31" s="5">
        <v>13</v>
      </c>
      <c r="W31" s="6">
        <v>13</v>
      </c>
      <c r="X31" s="6">
        <f t="shared" si="5"/>
        <v>14</v>
      </c>
      <c r="Y31" s="6">
        <f t="shared" si="5"/>
        <v>13.73</v>
      </c>
    </row>
    <row r="32" spans="1:25" x14ac:dyDescent="0.25">
      <c r="A32" s="2" t="s">
        <v>114</v>
      </c>
      <c r="B32" s="2" t="s">
        <v>115</v>
      </c>
      <c r="C32" s="2" t="s">
        <v>13</v>
      </c>
      <c r="D32" s="5">
        <v>26</v>
      </c>
      <c r="E32" s="6">
        <v>26</v>
      </c>
      <c r="F32" s="5">
        <v>33</v>
      </c>
      <c r="G32" s="6">
        <v>33</v>
      </c>
      <c r="H32" s="5">
        <v>37</v>
      </c>
      <c r="I32" s="6">
        <v>37</v>
      </c>
      <c r="J32" s="5">
        <v>30</v>
      </c>
      <c r="K32" s="6">
        <v>30</v>
      </c>
      <c r="L32" s="5">
        <v>29</v>
      </c>
      <c r="M32" s="6">
        <v>29</v>
      </c>
      <c r="N32" s="5">
        <v>28</v>
      </c>
      <c r="O32" s="6">
        <v>28</v>
      </c>
      <c r="P32" s="5">
        <v>29</v>
      </c>
      <c r="Q32" s="6">
        <v>29</v>
      </c>
      <c r="R32" s="5">
        <v>30</v>
      </c>
      <c r="S32" s="6">
        <v>30</v>
      </c>
      <c r="T32" s="5">
        <v>29</v>
      </c>
      <c r="U32" s="6">
        <v>29</v>
      </c>
      <c r="V32" s="5">
        <v>26</v>
      </c>
      <c r="W32" s="6">
        <v>26</v>
      </c>
      <c r="X32" s="6">
        <f t="shared" si="5"/>
        <v>29.7</v>
      </c>
      <c r="Y32" s="6">
        <f t="shared" si="5"/>
        <v>29.7</v>
      </c>
    </row>
    <row r="33" spans="1:25" x14ac:dyDescent="0.25">
      <c r="A33" s="2" t="s">
        <v>404</v>
      </c>
      <c r="B33" s="2" t="s">
        <v>405</v>
      </c>
      <c r="C33" s="2" t="s">
        <v>406</v>
      </c>
      <c r="D33" s="5">
        <v>20</v>
      </c>
      <c r="E33" s="6">
        <v>10.36</v>
      </c>
      <c r="F33" s="5">
        <v>35</v>
      </c>
      <c r="G33" s="6">
        <v>12.14</v>
      </c>
      <c r="H33" s="5">
        <v>35</v>
      </c>
      <c r="I33" s="6">
        <v>13.26</v>
      </c>
      <c r="J33" s="5">
        <v>37</v>
      </c>
      <c r="K33" s="6">
        <v>13.52</v>
      </c>
      <c r="L33" s="5">
        <v>35</v>
      </c>
      <c r="M33" s="6">
        <v>13.54</v>
      </c>
      <c r="N33" s="5">
        <v>47</v>
      </c>
      <c r="O33" s="6">
        <v>17.62</v>
      </c>
      <c r="P33" s="5">
        <v>49</v>
      </c>
      <c r="Q33" s="6">
        <v>18.240000000000002</v>
      </c>
      <c r="R33" s="5">
        <v>54</v>
      </c>
      <c r="S33" s="6">
        <v>16.12</v>
      </c>
      <c r="T33" s="5">
        <v>59</v>
      </c>
      <c r="U33" s="6">
        <v>17.940000000000001</v>
      </c>
      <c r="V33" s="5">
        <v>58</v>
      </c>
      <c r="W33" s="6">
        <v>15.25</v>
      </c>
      <c r="X33" s="6">
        <f t="shared" si="5"/>
        <v>42.9</v>
      </c>
      <c r="Y33" s="6">
        <f t="shared" si="5"/>
        <v>14.8</v>
      </c>
    </row>
    <row r="34" spans="1:25" x14ac:dyDescent="0.25">
      <c r="A34" s="2" t="s">
        <v>80</v>
      </c>
      <c r="B34" s="2" t="s">
        <v>81</v>
      </c>
      <c r="C34" s="2" t="s">
        <v>82</v>
      </c>
      <c r="D34" s="5">
        <v>177</v>
      </c>
      <c r="E34" s="6">
        <v>138.66000000000003</v>
      </c>
      <c r="F34" s="5">
        <v>197</v>
      </c>
      <c r="G34" s="6">
        <v>156.10999999999999</v>
      </c>
      <c r="H34" s="5">
        <v>226</v>
      </c>
      <c r="I34" s="6">
        <v>180.93</v>
      </c>
      <c r="J34" s="5">
        <v>235</v>
      </c>
      <c r="K34" s="6">
        <v>186.74999999999997</v>
      </c>
      <c r="L34" s="5">
        <v>238</v>
      </c>
      <c r="M34" s="6">
        <v>187.82999999999998</v>
      </c>
      <c r="N34" s="5">
        <v>230</v>
      </c>
      <c r="O34" s="6">
        <v>187.85999999999999</v>
      </c>
      <c r="P34" s="5">
        <v>245</v>
      </c>
      <c r="Q34" s="6">
        <v>204.22000000000003</v>
      </c>
      <c r="R34" s="5">
        <v>252</v>
      </c>
      <c r="S34" s="6">
        <v>209.73</v>
      </c>
      <c r="T34" s="5">
        <v>257</v>
      </c>
      <c r="U34" s="6">
        <v>215.75</v>
      </c>
      <c r="V34" s="5">
        <v>254</v>
      </c>
      <c r="W34" s="6">
        <v>214.04</v>
      </c>
      <c r="X34" s="6">
        <f t="shared" si="5"/>
        <v>231.1</v>
      </c>
      <c r="Y34" s="6">
        <f t="shared" si="5"/>
        <v>188.19</v>
      </c>
    </row>
    <row r="35" spans="1:25" x14ac:dyDescent="0.25">
      <c r="A35" s="2" t="s">
        <v>80</v>
      </c>
      <c r="B35" s="2" t="s">
        <v>81</v>
      </c>
      <c r="C35" s="2" t="s">
        <v>83</v>
      </c>
      <c r="D35" s="5">
        <v>0</v>
      </c>
      <c r="E35" s="6">
        <v>0</v>
      </c>
      <c r="F35" s="5">
        <v>0</v>
      </c>
      <c r="G35" s="6">
        <v>0</v>
      </c>
      <c r="H35" s="5">
        <v>0</v>
      </c>
      <c r="I35" s="6">
        <v>0</v>
      </c>
      <c r="J35" s="5">
        <v>0</v>
      </c>
      <c r="K35" s="6">
        <v>0</v>
      </c>
      <c r="L35" s="5">
        <v>0</v>
      </c>
      <c r="M35" s="6">
        <v>0</v>
      </c>
      <c r="N35" s="5">
        <v>0</v>
      </c>
      <c r="O35" s="6">
        <v>0</v>
      </c>
      <c r="P35" s="5">
        <v>0</v>
      </c>
      <c r="Q35" s="6">
        <v>0</v>
      </c>
      <c r="R35" s="5">
        <v>1</v>
      </c>
      <c r="S35" s="6">
        <v>1</v>
      </c>
      <c r="T35" s="5">
        <v>1</v>
      </c>
      <c r="U35" s="6">
        <v>1</v>
      </c>
      <c r="V35" s="5">
        <v>1</v>
      </c>
      <c r="W35" s="6">
        <v>1</v>
      </c>
      <c r="X35" s="6">
        <f t="shared" si="5"/>
        <v>0.3</v>
      </c>
      <c r="Y35" s="6">
        <f t="shared" si="5"/>
        <v>0.3</v>
      </c>
    </row>
    <row r="36" spans="1:25" x14ac:dyDescent="0.25">
      <c r="A36" s="2" t="s">
        <v>37</v>
      </c>
      <c r="B36" s="2" t="s">
        <v>38</v>
      </c>
      <c r="C36" s="2" t="s">
        <v>39</v>
      </c>
      <c r="D36" s="5">
        <v>38</v>
      </c>
      <c r="E36" s="6">
        <v>34.96</v>
      </c>
      <c r="F36" s="5">
        <v>37</v>
      </c>
      <c r="G36" s="6">
        <v>33.99</v>
      </c>
      <c r="H36" s="5">
        <v>35</v>
      </c>
      <c r="I36" s="6">
        <v>31.99</v>
      </c>
      <c r="J36" s="5">
        <v>37</v>
      </c>
      <c r="K36" s="6">
        <v>33.99</v>
      </c>
      <c r="L36" s="5">
        <v>37</v>
      </c>
      <c r="M36" s="6">
        <v>33.99</v>
      </c>
      <c r="N36" s="5">
        <v>37</v>
      </c>
      <c r="O36" s="6">
        <v>33.840000000000003</v>
      </c>
      <c r="P36" s="5">
        <v>39</v>
      </c>
      <c r="Q36" s="6">
        <v>35.840000000000003</v>
      </c>
      <c r="R36" s="5">
        <v>40</v>
      </c>
      <c r="S36" s="6">
        <v>36.840000000000003</v>
      </c>
      <c r="T36" s="5">
        <v>40</v>
      </c>
      <c r="U36" s="6">
        <v>36.840000000000003</v>
      </c>
      <c r="V36" s="5">
        <v>40</v>
      </c>
      <c r="W36" s="6">
        <v>37.04</v>
      </c>
      <c r="X36" s="6">
        <f t="shared" si="5"/>
        <v>38</v>
      </c>
      <c r="Y36" s="6">
        <f t="shared" si="5"/>
        <v>34.93</v>
      </c>
    </row>
    <row r="37" spans="1:25" x14ac:dyDescent="0.25">
      <c r="A37" s="2" t="s">
        <v>37</v>
      </c>
      <c r="B37" s="2" t="s">
        <v>38</v>
      </c>
      <c r="C37" s="2" t="s">
        <v>40</v>
      </c>
      <c r="D37" s="5">
        <v>1</v>
      </c>
      <c r="E37" s="6">
        <v>0.36</v>
      </c>
      <c r="F37" s="5">
        <v>3</v>
      </c>
      <c r="G37" s="6">
        <v>1.26</v>
      </c>
      <c r="H37" s="5">
        <v>3</v>
      </c>
      <c r="I37" s="6">
        <v>1.26</v>
      </c>
      <c r="J37" s="5">
        <v>4</v>
      </c>
      <c r="K37" s="6">
        <v>0.9</v>
      </c>
      <c r="L37" s="5">
        <v>3</v>
      </c>
      <c r="M37" s="6">
        <v>0.72</v>
      </c>
      <c r="N37" s="5">
        <v>7</v>
      </c>
      <c r="O37" s="6">
        <v>4.2699999999999996</v>
      </c>
      <c r="P37" s="5">
        <v>6</v>
      </c>
      <c r="Q37" s="6">
        <v>3.91</v>
      </c>
      <c r="R37" s="5">
        <v>3</v>
      </c>
      <c r="S37" s="6">
        <v>1.81</v>
      </c>
      <c r="T37" s="5">
        <v>3</v>
      </c>
      <c r="U37" s="6">
        <v>1.81</v>
      </c>
      <c r="V37" s="5">
        <v>2</v>
      </c>
      <c r="W37" s="6">
        <v>1.51</v>
      </c>
      <c r="X37" s="6">
        <f t="shared" si="5"/>
        <v>3.5</v>
      </c>
      <c r="Y37" s="6">
        <f t="shared" si="5"/>
        <v>1.78</v>
      </c>
    </row>
    <row r="38" spans="1:25" x14ac:dyDescent="0.25">
      <c r="A38" s="2" t="s">
        <v>101</v>
      </c>
      <c r="B38" s="2" t="s">
        <v>102</v>
      </c>
      <c r="C38" s="2" t="s">
        <v>103</v>
      </c>
      <c r="D38" s="5">
        <v>6</v>
      </c>
      <c r="E38" s="6">
        <v>5.7</v>
      </c>
      <c r="F38" s="5">
        <v>13</v>
      </c>
      <c r="G38" s="6">
        <v>12.41</v>
      </c>
      <c r="H38" s="5">
        <v>25</v>
      </c>
      <c r="I38" s="6">
        <v>23.55</v>
      </c>
      <c r="J38" s="5">
        <v>26</v>
      </c>
      <c r="K38" s="6">
        <v>24.55</v>
      </c>
      <c r="L38" s="5">
        <v>26</v>
      </c>
      <c r="M38" s="6">
        <v>24.55</v>
      </c>
      <c r="N38" s="5">
        <v>22</v>
      </c>
      <c r="O38" s="6">
        <v>20.100000000000001</v>
      </c>
      <c r="P38" s="5">
        <v>20</v>
      </c>
      <c r="Q38" s="6">
        <v>18.55</v>
      </c>
      <c r="R38" s="5">
        <v>22</v>
      </c>
      <c r="S38" s="6">
        <v>20.55</v>
      </c>
      <c r="T38" s="5">
        <v>25</v>
      </c>
      <c r="U38" s="6">
        <v>23.85</v>
      </c>
      <c r="V38" s="5">
        <v>25</v>
      </c>
      <c r="W38" s="6">
        <v>23.85</v>
      </c>
      <c r="X38" s="6">
        <f t="shared" si="5"/>
        <v>21</v>
      </c>
      <c r="Y38" s="6">
        <f t="shared" si="5"/>
        <v>19.77</v>
      </c>
    </row>
    <row r="39" spans="1:25" x14ac:dyDescent="0.25">
      <c r="A39" s="2" t="s">
        <v>268</v>
      </c>
      <c r="B39" s="2" t="s">
        <v>269</v>
      </c>
      <c r="C39" s="2" t="s">
        <v>270</v>
      </c>
      <c r="D39" s="5">
        <v>509</v>
      </c>
      <c r="E39" s="6">
        <v>504.5</v>
      </c>
      <c r="F39" s="5">
        <v>533</v>
      </c>
      <c r="G39" s="6">
        <v>525.5</v>
      </c>
      <c r="H39" s="5">
        <v>554</v>
      </c>
      <c r="I39" s="6">
        <v>546.5</v>
      </c>
      <c r="J39" s="5">
        <v>541</v>
      </c>
      <c r="K39" s="6">
        <v>534.5</v>
      </c>
      <c r="L39" s="5">
        <v>534</v>
      </c>
      <c r="M39" s="6">
        <v>527.5</v>
      </c>
      <c r="N39" s="5">
        <v>556</v>
      </c>
      <c r="O39" s="6">
        <v>549.5</v>
      </c>
      <c r="P39" s="5">
        <v>556</v>
      </c>
      <c r="Q39" s="6">
        <v>550</v>
      </c>
      <c r="R39" s="5">
        <v>546</v>
      </c>
      <c r="S39" s="6">
        <v>539</v>
      </c>
      <c r="T39" s="5">
        <v>538</v>
      </c>
      <c r="U39" s="6">
        <v>532</v>
      </c>
      <c r="V39" s="5">
        <v>515</v>
      </c>
      <c r="W39" s="6">
        <v>509</v>
      </c>
      <c r="X39" s="6">
        <f t="shared" si="5"/>
        <v>538.20000000000005</v>
      </c>
      <c r="Y39" s="6">
        <f t="shared" si="5"/>
        <v>531.79999999999995</v>
      </c>
    </row>
    <row r="40" spans="1:25" x14ac:dyDescent="0.25">
      <c r="A40" s="2" t="s">
        <v>502</v>
      </c>
      <c r="B40" s="2" t="s">
        <v>503</v>
      </c>
      <c r="C40" s="2" t="s">
        <v>504</v>
      </c>
      <c r="D40" s="5">
        <v>166</v>
      </c>
      <c r="E40" s="6">
        <v>166</v>
      </c>
      <c r="F40" s="5">
        <v>165</v>
      </c>
      <c r="G40" s="6">
        <v>165</v>
      </c>
      <c r="H40" s="5">
        <v>171</v>
      </c>
      <c r="I40" s="6">
        <v>171</v>
      </c>
      <c r="J40" s="5">
        <v>172</v>
      </c>
      <c r="K40" s="6">
        <v>172</v>
      </c>
      <c r="L40" s="5">
        <v>178</v>
      </c>
      <c r="M40" s="6">
        <v>178</v>
      </c>
      <c r="N40" s="5">
        <v>182</v>
      </c>
      <c r="O40" s="6">
        <v>182</v>
      </c>
      <c r="P40" s="5">
        <v>194</v>
      </c>
      <c r="Q40" s="6">
        <v>194</v>
      </c>
      <c r="R40" s="5">
        <v>195</v>
      </c>
      <c r="S40" s="6">
        <v>195</v>
      </c>
      <c r="T40" s="5">
        <v>198</v>
      </c>
      <c r="U40" s="6">
        <v>198</v>
      </c>
      <c r="V40" s="5">
        <v>197</v>
      </c>
      <c r="W40" s="6">
        <v>197</v>
      </c>
      <c r="X40" s="6">
        <f t="shared" si="5"/>
        <v>181.8</v>
      </c>
      <c r="Y40" s="6">
        <f t="shared" si="5"/>
        <v>181.8</v>
      </c>
    </row>
    <row r="41" spans="1:25" x14ac:dyDescent="0.25">
      <c r="A41" s="2" t="s">
        <v>502</v>
      </c>
      <c r="B41" s="2" t="s">
        <v>503</v>
      </c>
      <c r="C41" s="2" t="s">
        <v>505</v>
      </c>
      <c r="D41" s="5">
        <v>408</v>
      </c>
      <c r="E41" s="6">
        <v>152.69</v>
      </c>
      <c r="F41" s="5">
        <v>466</v>
      </c>
      <c r="G41" s="6">
        <v>165.74</v>
      </c>
      <c r="H41" s="5">
        <v>501</v>
      </c>
      <c r="I41" s="6">
        <v>204.62</v>
      </c>
      <c r="J41" s="5">
        <v>505</v>
      </c>
      <c r="K41" s="6">
        <v>210.86</v>
      </c>
      <c r="L41" s="5">
        <v>517</v>
      </c>
      <c r="M41" s="6">
        <v>225.21</v>
      </c>
      <c r="N41" s="5">
        <v>615</v>
      </c>
      <c r="O41" s="6">
        <v>271.38</v>
      </c>
      <c r="P41" s="5">
        <v>632</v>
      </c>
      <c r="Q41" s="6">
        <v>288.26</v>
      </c>
      <c r="R41" s="5">
        <v>642</v>
      </c>
      <c r="S41" s="6">
        <v>304.8</v>
      </c>
      <c r="T41" s="5">
        <v>647</v>
      </c>
      <c r="U41" s="6">
        <v>310.54000000000002</v>
      </c>
      <c r="V41" s="5">
        <v>642</v>
      </c>
      <c r="W41" s="6">
        <v>304.77999999999997</v>
      </c>
      <c r="X41" s="6">
        <f t="shared" si="5"/>
        <v>557.5</v>
      </c>
      <c r="Y41" s="6">
        <f t="shared" si="5"/>
        <v>243.89</v>
      </c>
    </row>
    <row r="42" spans="1:25" x14ac:dyDescent="0.25">
      <c r="A42" s="2" t="s">
        <v>502</v>
      </c>
      <c r="B42" s="2" t="s">
        <v>503</v>
      </c>
      <c r="C42" s="2" t="s">
        <v>506</v>
      </c>
      <c r="D42" s="5">
        <v>111</v>
      </c>
      <c r="E42" s="6">
        <v>10.879999999999999</v>
      </c>
      <c r="F42" s="5">
        <v>110</v>
      </c>
      <c r="G42" s="6">
        <v>10.979999999999999</v>
      </c>
      <c r="H42" s="5">
        <v>106</v>
      </c>
      <c r="I42" s="6">
        <v>10.629999999999999</v>
      </c>
      <c r="J42" s="5">
        <v>107</v>
      </c>
      <c r="K42" s="6">
        <v>10.5</v>
      </c>
      <c r="L42" s="5">
        <v>104</v>
      </c>
      <c r="M42" s="6">
        <v>10.25</v>
      </c>
      <c r="N42" s="5">
        <v>108</v>
      </c>
      <c r="O42" s="6">
        <v>10.759999999999998</v>
      </c>
      <c r="P42" s="5">
        <v>109</v>
      </c>
      <c r="Q42" s="6">
        <v>11.219999999999999</v>
      </c>
      <c r="R42" s="5">
        <v>108</v>
      </c>
      <c r="S42" s="6">
        <v>11.02</v>
      </c>
      <c r="T42" s="5">
        <v>108</v>
      </c>
      <c r="U42" s="6">
        <v>10.81</v>
      </c>
      <c r="V42" s="5">
        <v>108</v>
      </c>
      <c r="W42" s="6">
        <v>10.799999999999999</v>
      </c>
      <c r="X42" s="6">
        <f t="shared" si="5"/>
        <v>107.9</v>
      </c>
      <c r="Y42" s="6">
        <f t="shared" si="5"/>
        <v>10.79</v>
      </c>
    </row>
    <row r="43" spans="1:25" x14ac:dyDescent="0.25">
      <c r="A43" s="2" t="s">
        <v>306</v>
      </c>
      <c r="B43" s="2" t="s">
        <v>307</v>
      </c>
      <c r="C43" s="2" t="s">
        <v>308</v>
      </c>
      <c r="D43" s="5">
        <v>97</v>
      </c>
      <c r="E43" s="6">
        <v>96.6</v>
      </c>
      <c r="F43" s="5">
        <v>117</v>
      </c>
      <c r="G43" s="6">
        <v>116.39999999999999</v>
      </c>
      <c r="H43" s="5">
        <v>115</v>
      </c>
      <c r="I43" s="6">
        <v>114.22</v>
      </c>
      <c r="J43" s="5">
        <v>118</v>
      </c>
      <c r="K43" s="6">
        <v>113.75</v>
      </c>
      <c r="L43" s="5">
        <v>122</v>
      </c>
      <c r="M43" s="6">
        <v>115.75</v>
      </c>
      <c r="N43" s="5">
        <v>120</v>
      </c>
      <c r="O43" s="6">
        <v>115.75</v>
      </c>
      <c r="P43" s="5">
        <v>119</v>
      </c>
      <c r="Q43" s="6">
        <v>115.55</v>
      </c>
      <c r="R43" s="5">
        <v>117</v>
      </c>
      <c r="S43" s="6">
        <v>112.79</v>
      </c>
      <c r="T43" s="5">
        <v>120</v>
      </c>
      <c r="U43" s="6">
        <v>115.79</v>
      </c>
      <c r="V43" s="5">
        <v>117</v>
      </c>
      <c r="W43" s="6">
        <v>113.79</v>
      </c>
      <c r="X43" s="6">
        <f t="shared" si="5"/>
        <v>116.2</v>
      </c>
      <c r="Y43" s="6">
        <f t="shared" si="5"/>
        <v>113.04</v>
      </c>
    </row>
    <row r="44" spans="1:25" x14ac:dyDescent="0.25">
      <c r="A44" s="2" t="s">
        <v>660</v>
      </c>
      <c r="B44" s="2" t="s">
        <v>661</v>
      </c>
      <c r="C44" s="2" t="s">
        <v>302</v>
      </c>
      <c r="D44" s="5">
        <v>28</v>
      </c>
      <c r="E44" s="6">
        <v>27.6</v>
      </c>
      <c r="F44" s="5">
        <v>37</v>
      </c>
      <c r="G44" s="6">
        <v>36.6</v>
      </c>
      <c r="H44" s="5">
        <v>32</v>
      </c>
      <c r="I44" s="6">
        <v>31.6</v>
      </c>
      <c r="J44" s="5">
        <v>32</v>
      </c>
      <c r="K44" s="6">
        <v>31.6</v>
      </c>
      <c r="L44" s="5">
        <v>33</v>
      </c>
      <c r="M44" s="6">
        <v>32.6</v>
      </c>
      <c r="N44" s="5">
        <v>32</v>
      </c>
      <c r="O44" s="6">
        <v>32</v>
      </c>
      <c r="P44" s="5">
        <v>34</v>
      </c>
      <c r="Q44" s="6">
        <v>34</v>
      </c>
      <c r="R44" s="5">
        <v>38</v>
      </c>
      <c r="S44" s="6">
        <v>37.6</v>
      </c>
      <c r="T44" s="5">
        <v>40</v>
      </c>
      <c r="U44" s="6">
        <v>39.44</v>
      </c>
      <c r="V44" s="5">
        <v>43</v>
      </c>
      <c r="W44" s="6">
        <v>42.44</v>
      </c>
      <c r="X44" s="6">
        <f t="shared" si="5"/>
        <v>34.9</v>
      </c>
      <c r="Y44" s="6">
        <f t="shared" si="5"/>
        <v>34.549999999999997</v>
      </c>
    </row>
    <row r="45" spans="1:25" x14ac:dyDescent="0.25">
      <c r="A45" s="2" t="s">
        <v>510</v>
      </c>
      <c r="B45" s="2" t="s">
        <v>511</v>
      </c>
      <c r="C45" s="2" t="s">
        <v>512</v>
      </c>
      <c r="D45" s="5">
        <v>145</v>
      </c>
      <c r="E45" s="6">
        <v>144.66</v>
      </c>
      <c r="F45" s="5">
        <v>145</v>
      </c>
      <c r="G45" s="6">
        <v>144.61000000000001</v>
      </c>
      <c r="H45" s="5">
        <v>149</v>
      </c>
      <c r="I45" s="6">
        <v>148.61000000000001</v>
      </c>
      <c r="J45" s="5">
        <v>144</v>
      </c>
      <c r="K45" s="6">
        <v>143.61000000000001</v>
      </c>
      <c r="L45" s="5">
        <v>140</v>
      </c>
      <c r="M45" s="6">
        <v>139.61000000000001</v>
      </c>
      <c r="N45" s="5">
        <v>141</v>
      </c>
      <c r="O45" s="6">
        <v>140.44</v>
      </c>
      <c r="P45" s="5">
        <v>141</v>
      </c>
      <c r="Q45" s="6">
        <v>140.41</v>
      </c>
      <c r="R45" s="5">
        <v>141</v>
      </c>
      <c r="S45" s="6">
        <v>140.41</v>
      </c>
      <c r="T45" s="5">
        <v>142</v>
      </c>
      <c r="U45" s="6">
        <v>141.24</v>
      </c>
      <c r="V45" s="5">
        <v>144</v>
      </c>
      <c r="W45" s="6">
        <v>143.24</v>
      </c>
      <c r="X45" s="6">
        <f t="shared" si="5"/>
        <v>143.19999999999999</v>
      </c>
      <c r="Y45" s="6">
        <f t="shared" si="5"/>
        <v>142.68</v>
      </c>
    </row>
    <row r="46" spans="1:25" x14ac:dyDescent="0.25">
      <c r="A46" s="2" t="s">
        <v>510</v>
      </c>
      <c r="B46" s="2" t="s">
        <v>511</v>
      </c>
      <c r="C46" s="2" t="s">
        <v>513</v>
      </c>
      <c r="D46" s="5">
        <v>94</v>
      </c>
      <c r="E46" s="6">
        <v>93.33</v>
      </c>
      <c r="F46" s="5">
        <v>103</v>
      </c>
      <c r="G46" s="6">
        <v>99.52</v>
      </c>
      <c r="H46" s="5">
        <v>103</v>
      </c>
      <c r="I46" s="6">
        <v>99.52</v>
      </c>
      <c r="J46" s="5">
        <v>113</v>
      </c>
      <c r="K46" s="6">
        <v>109.65</v>
      </c>
      <c r="L46" s="5">
        <v>113</v>
      </c>
      <c r="M46" s="6">
        <v>107.72</v>
      </c>
      <c r="N46" s="5">
        <v>114</v>
      </c>
      <c r="O46" s="6">
        <v>108.93</v>
      </c>
      <c r="P46" s="5">
        <v>116</v>
      </c>
      <c r="Q46" s="6">
        <v>110.93</v>
      </c>
      <c r="R46" s="5">
        <v>115</v>
      </c>
      <c r="S46" s="6">
        <v>108.93</v>
      </c>
      <c r="T46" s="5">
        <v>110</v>
      </c>
      <c r="U46" s="6">
        <v>104.93</v>
      </c>
      <c r="V46" s="5">
        <v>112</v>
      </c>
      <c r="W46" s="6">
        <v>106.33</v>
      </c>
      <c r="X46" s="6">
        <f t="shared" si="5"/>
        <v>109.3</v>
      </c>
      <c r="Y46" s="6">
        <f t="shared" si="5"/>
        <v>104.98</v>
      </c>
    </row>
    <row r="47" spans="1:25" x14ac:dyDescent="0.25">
      <c r="A47" s="2" t="s">
        <v>510</v>
      </c>
      <c r="B47" s="2" t="s">
        <v>511</v>
      </c>
      <c r="C47" s="2" t="s">
        <v>514</v>
      </c>
      <c r="D47" s="5">
        <v>43</v>
      </c>
      <c r="E47" s="6">
        <v>41.96</v>
      </c>
      <c r="F47" s="5">
        <v>56</v>
      </c>
      <c r="G47" s="6">
        <v>53.94</v>
      </c>
      <c r="H47" s="5">
        <v>67</v>
      </c>
      <c r="I47" s="6">
        <v>64.14</v>
      </c>
      <c r="J47" s="5">
        <v>67</v>
      </c>
      <c r="K47" s="6">
        <v>65.14</v>
      </c>
      <c r="L47" s="5">
        <v>64</v>
      </c>
      <c r="M47" s="6">
        <v>62.07</v>
      </c>
      <c r="N47" s="5">
        <v>65</v>
      </c>
      <c r="O47" s="6">
        <v>62.55</v>
      </c>
      <c r="P47" s="5">
        <v>74</v>
      </c>
      <c r="Q47" s="6">
        <v>71.47</v>
      </c>
      <c r="R47" s="5">
        <v>68</v>
      </c>
      <c r="S47" s="6">
        <v>65.239999999999995</v>
      </c>
      <c r="T47" s="5">
        <v>66</v>
      </c>
      <c r="U47" s="6">
        <v>63.24</v>
      </c>
      <c r="V47" s="5">
        <v>67</v>
      </c>
      <c r="W47" s="6">
        <v>64.78</v>
      </c>
      <c r="X47" s="6">
        <f t="shared" si="5"/>
        <v>63.7</v>
      </c>
      <c r="Y47" s="6">
        <f t="shared" si="5"/>
        <v>61.45</v>
      </c>
    </row>
    <row r="48" spans="1:25" x14ac:dyDescent="0.25">
      <c r="A48" s="2" t="s">
        <v>538</v>
      </c>
      <c r="B48" s="2" t="s">
        <v>539</v>
      </c>
      <c r="C48" s="2" t="s">
        <v>540</v>
      </c>
      <c r="D48" s="5">
        <v>116</v>
      </c>
      <c r="E48" s="6">
        <v>110.28</v>
      </c>
      <c r="F48" s="5">
        <v>114</v>
      </c>
      <c r="G48" s="6">
        <v>109.04</v>
      </c>
      <c r="H48" s="5">
        <v>122</v>
      </c>
      <c r="I48" s="6">
        <v>115.41999999999999</v>
      </c>
      <c r="J48" s="5">
        <v>126</v>
      </c>
      <c r="K48" s="6">
        <v>118.61999999999999</v>
      </c>
      <c r="L48" s="5">
        <v>131</v>
      </c>
      <c r="M48" s="6">
        <v>123.46000000000001</v>
      </c>
      <c r="N48" s="5">
        <v>128</v>
      </c>
      <c r="O48" s="6">
        <v>120.32</v>
      </c>
      <c r="P48" s="5">
        <v>130</v>
      </c>
      <c r="Q48" s="6">
        <v>121.68</v>
      </c>
      <c r="R48" s="5">
        <v>132</v>
      </c>
      <c r="S48" s="6">
        <v>124</v>
      </c>
      <c r="T48" s="5">
        <v>131</v>
      </c>
      <c r="U48" s="6">
        <v>123</v>
      </c>
      <c r="V48" s="5">
        <v>129</v>
      </c>
      <c r="W48" s="6">
        <v>121.80000000000001</v>
      </c>
      <c r="X48" s="6">
        <f t="shared" si="5"/>
        <v>125.9</v>
      </c>
      <c r="Y48" s="6">
        <f t="shared" si="5"/>
        <v>118.76</v>
      </c>
    </row>
    <row r="49" spans="1:25" x14ac:dyDescent="0.25">
      <c r="A49" s="2" t="s">
        <v>185</v>
      </c>
      <c r="B49" s="2" t="s">
        <v>186</v>
      </c>
      <c r="C49" s="2" t="s">
        <v>187</v>
      </c>
      <c r="D49" s="5">
        <v>43</v>
      </c>
      <c r="E49" s="6">
        <v>40.82</v>
      </c>
      <c r="F49" s="5">
        <v>51</v>
      </c>
      <c r="G49" s="6">
        <v>46.26</v>
      </c>
      <c r="H49" s="5">
        <v>50</v>
      </c>
      <c r="I49" s="6">
        <v>45.16</v>
      </c>
      <c r="J49" s="5">
        <v>53</v>
      </c>
      <c r="K49" s="6">
        <v>47.8</v>
      </c>
      <c r="L49" s="5">
        <v>53</v>
      </c>
      <c r="M49" s="6">
        <v>48.44</v>
      </c>
      <c r="N49" s="5">
        <v>58</v>
      </c>
      <c r="O49" s="6">
        <v>53.339999999999996</v>
      </c>
      <c r="P49" s="5">
        <v>57</v>
      </c>
      <c r="Q49" s="6">
        <v>53.339999999999996</v>
      </c>
      <c r="R49" s="5">
        <v>60</v>
      </c>
      <c r="S49" s="6">
        <v>55.98</v>
      </c>
      <c r="T49" s="5">
        <v>57</v>
      </c>
      <c r="U49" s="6">
        <v>52.98</v>
      </c>
      <c r="V49" s="5">
        <v>55</v>
      </c>
      <c r="W49" s="6">
        <v>51.16</v>
      </c>
      <c r="X49" s="6">
        <f t="shared" si="5"/>
        <v>53.7</v>
      </c>
      <c r="Y49" s="6">
        <f t="shared" si="5"/>
        <v>49.53</v>
      </c>
    </row>
    <row r="50" spans="1:25" x14ac:dyDescent="0.25">
      <c r="A50" s="2" t="s">
        <v>662</v>
      </c>
      <c r="B50" s="2" t="s">
        <v>663</v>
      </c>
      <c r="C50" s="2" t="s">
        <v>19</v>
      </c>
      <c r="D50" s="5">
        <v>80</v>
      </c>
      <c r="E50" s="6">
        <v>74.09</v>
      </c>
      <c r="F50" s="5">
        <v>105</v>
      </c>
      <c r="G50" s="6">
        <v>99.03</v>
      </c>
      <c r="H50" s="5">
        <v>106</v>
      </c>
      <c r="I50" s="6">
        <v>100.72</v>
      </c>
      <c r="J50" s="5">
        <v>116</v>
      </c>
      <c r="K50" s="6">
        <v>109.61</v>
      </c>
      <c r="L50" s="5">
        <v>108</v>
      </c>
      <c r="M50" s="6">
        <v>103.58</v>
      </c>
      <c r="N50" s="5">
        <v>124</v>
      </c>
      <c r="O50" s="6">
        <v>119.51</v>
      </c>
      <c r="P50" s="5">
        <v>125</v>
      </c>
      <c r="Q50" s="6">
        <v>119.35</v>
      </c>
      <c r="R50" s="5">
        <v>126</v>
      </c>
      <c r="S50" s="6">
        <v>121.13</v>
      </c>
      <c r="T50" s="5">
        <v>122</v>
      </c>
      <c r="U50" s="6">
        <v>117.89</v>
      </c>
      <c r="V50" s="5">
        <v>115</v>
      </c>
      <c r="W50" s="6">
        <v>110.89</v>
      </c>
      <c r="X50" s="6">
        <f t="shared" si="5"/>
        <v>112.7</v>
      </c>
      <c r="Y50" s="6">
        <f t="shared" si="5"/>
        <v>107.58</v>
      </c>
    </row>
    <row r="51" spans="1:25" x14ac:dyDescent="0.25">
      <c r="A51" s="2" t="s">
        <v>662</v>
      </c>
      <c r="B51" s="2" t="s">
        <v>663</v>
      </c>
      <c r="C51" s="2" t="s">
        <v>20</v>
      </c>
      <c r="D51" s="5">
        <v>71</v>
      </c>
      <c r="E51" s="6">
        <v>70.84</v>
      </c>
      <c r="F51" s="5">
        <v>88</v>
      </c>
      <c r="G51" s="6">
        <v>87.84</v>
      </c>
      <c r="H51" s="5">
        <v>89</v>
      </c>
      <c r="I51" s="6">
        <v>88.84</v>
      </c>
      <c r="J51" s="5">
        <v>85</v>
      </c>
      <c r="K51" s="6">
        <v>84.84</v>
      </c>
      <c r="L51" s="5">
        <v>82</v>
      </c>
      <c r="M51" s="6">
        <v>81.84</v>
      </c>
      <c r="N51" s="5">
        <v>80</v>
      </c>
      <c r="O51" s="6">
        <v>80</v>
      </c>
      <c r="P51" s="5">
        <v>77</v>
      </c>
      <c r="Q51" s="6">
        <v>77</v>
      </c>
      <c r="R51" s="5">
        <v>79</v>
      </c>
      <c r="S51" s="6">
        <v>79</v>
      </c>
      <c r="T51" s="5">
        <v>76</v>
      </c>
      <c r="U51" s="6">
        <v>75.48</v>
      </c>
      <c r="V51" s="5">
        <v>77</v>
      </c>
      <c r="W51" s="6">
        <v>77</v>
      </c>
      <c r="X51" s="6">
        <f t="shared" si="5"/>
        <v>80.400000000000006</v>
      </c>
      <c r="Y51" s="6">
        <f t="shared" si="5"/>
        <v>80.27</v>
      </c>
    </row>
    <row r="52" spans="1:25" x14ac:dyDescent="0.25">
      <c r="A52" s="2" t="s">
        <v>278</v>
      </c>
      <c r="B52" s="2" t="s">
        <v>279</v>
      </c>
      <c r="C52" s="2" t="s">
        <v>280</v>
      </c>
      <c r="D52" s="5">
        <v>18</v>
      </c>
      <c r="E52" s="6">
        <v>17.399999999999999</v>
      </c>
      <c r="F52" s="5">
        <v>20</v>
      </c>
      <c r="G52" s="6">
        <v>19.399999999999999</v>
      </c>
      <c r="H52" s="5">
        <v>20</v>
      </c>
      <c r="I52" s="6">
        <v>19.399999999999999</v>
      </c>
      <c r="J52" s="5">
        <v>22</v>
      </c>
      <c r="K52" s="6">
        <v>21.55</v>
      </c>
      <c r="L52" s="5">
        <v>23</v>
      </c>
      <c r="M52" s="6">
        <v>22.55</v>
      </c>
      <c r="N52" s="5">
        <v>25</v>
      </c>
      <c r="O52" s="6">
        <v>24.1</v>
      </c>
      <c r="P52" s="5">
        <v>27</v>
      </c>
      <c r="Q52" s="6">
        <v>26.1</v>
      </c>
      <c r="R52" s="5">
        <v>27</v>
      </c>
      <c r="S52" s="6">
        <v>26.1</v>
      </c>
      <c r="T52" s="5">
        <v>27</v>
      </c>
      <c r="U52" s="6">
        <v>26.1</v>
      </c>
      <c r="V52" s="5">
        <v>25</v>
      </c>
      <c r="W52" s="6">
        <v>24.25</v>
      </c>
      <c r="X52" s="6">
        <f t="shared" si="5"/>
        <v>23.4</v>
      </c>
      <c r="Y52" s="6">
        <f t="shared" si="5"/>
        <v>22.7</v>
      </c>
    </row>
    <row r="53" spans="1:25" x14ac:dyDescent="0.25">
      <c r="A53" s="2" t="s">
        <v>381</v>
      </c>
      <c r="B53" s="2" t="s">
        <v>382</v>
      </c>
      <c r="C53" s="2" t="s">
        <v>383</v>
      </c>
      <c r="D53" s="5">
        <v>149</v>
      </c>
      <c r="E53" s="6">
        <v>149</v>
      </c>
      <c r="F53" s="5">
        <v>165</v>
      </c>
      <c r="G53" s="6">
        <v>165</v>
      </c>
      <c r="H53" s="5">
        <v>181</v>
      </c>
      <c r="I53" s="6">
        <v>181</v>
      </c>
      <c r="J53" s="5">
        <v>187</v>
      </c>
      <c r="K53" s="6">
        <v>187</v>
      </c>
      <c r="L53" s="5">
        <v>183</v>
      </c>
      <c r="M53" s="6">
        <v>183</v>
      </c>
      <c r="N53" s="5">
        <v>176</v>
      </c>
      <c r="O53" s="6">
        <v>176</v>
      </c>
      <c r="P53" s="5">
        <v>163</v>
      </c>
      <c r="Q53" s="6">
        <v>163</v>
      </c>
      <c r="R53" s="5">
        <v>172</v>
      </c>
      <c r="S53" s="6">
        <v>172</v>
      </c>
      <c r="T53" s="5">
        <v>181</v>
      </c>
      <c r="U53" s="6">
        <v>181</v>
      </c>
      <c r="V53" s="5">
        <v>176</v>
      </c>
      <c r="W53" s="6">
        <v>176</v>
      </c>
      <c r="X53" s="6">
        <f t="shared" si="5"/>
        <v>173.3</v>
      </c>
      <c r="Y53" s="6">
        <f t="shared" si="5"/>
        <v>173.3</v>
      </c>
    </row>
    <row r="54" spans="1:25" x14ac:dyDescent="0.25">
      <c r="A54" s="2" t="s">
        <v>544</v>
      </c>
      <c r="B54" s="2" t="s">
        <v>545</v>
      </c>
      <c r="C54" s="2" t="s">
        <v>546</v>
      </c>
      <c r="D54" s="5">
        <v>50</v>
      </c>
      <c r="E54" s="6">
        <v>32.5</v>
      </c>
      <c r="F54" s="5">
        <v>53</v>
      </c>
      <c r="G54" s="6">
        <v>36.099999999999994</v>
      </c>
      <c r="H54" s="5">
        <v>54</v>
      </c>
      <c r="I54" s="6">
        <v>36.5</v>
      </c>
      <c r="J54" s="5">
        <v>55</v>
      </c>
      <c r="K54" s="6">
        <v>35.659999999999997</v>
      </c>
      <c r="L54" s="5">
        <v>55</v>
      </c>
      <c r="M54" s="6">
        <v>38.380000000000003</v>
      </c>
      <c r="N54" s="5">
        <v>69</v>
      </c>
      <c r="O54" s="6">
        <v>53.79</v>
      </c>
      <c r="P54" s="5">
        <v>71</v>
      </c>
      <c r="Q54" s="6">
        <v>55.14</v>
      </c>
      <c r="R54" s="5">
        <v>75</v>
      </c>
      <c r="S54" s="6">
        <v>59.730000000000004</v>
      </c>
      <c r="T54" s="5">
        <v>76</v>
      </c>
      <c r="U54" s="6">
        <v>59.58</v>
      </c>
      <c r="V54" s="5">
        <v>76</v>
      </c>
      <c r="W54" s="6">
        <v>59.58</v>
      </c>
      <c r="X54" s="6">
        <f t="shared" si="5"/>
        <v>63.4</v>
      </c>
      <c r="Y54" s="6">
        <f t="shared" si="5"/>
        <v>46.7</v>
      </c>
    </row>
    <row r="55" spans="1:25" x14ac:dyDescent="0.25">
      <c r="A55" s="2" t="s">
        <v>416</v>
      </c>
      <c r="B55" s="2" t="s">
        <v>417</v>
      </c>
      <c r="C55" s="2" t="s">
        <v>418</v>
      </c>
      <c r="D55" s="5">
        <v>0</v>
      </c>
      <c r="E55" s="6">
        <v>0</v>
      </c>
      <c r="F55" s="5">
        <v>0</v>
      </c>
      <c r="G55" s="6">
        <v>0</v>
      </c>
      <c r="H55" s="5">
        <v>0</v>
      </c>
      <c r="I55" s="6">
        <v>0</v>
      </c>
      <c r="J55" s="5">
        <v>0</v>
      </c>
      <c r="K55" s="6">
        <v>0</v>
      </c>
      <c r="L55" s="5">
        <v>1</v>
      </c>
      <c r="M55" s="6">
        <v>1</v>
      </c>
      <c r="N55" s="5">
        <v>2</v>
      </c>
      <c r="O55" s="6">
        <v>2</v>
      </c>
      <c r="P55" s="5">
        <v>2</v>
      </c>
      <c r="Q55" s="6">
        <v>2</v>
      </c>
      <c r="R55" s="5">
        <v>2</v>
      </c>
      <c r="S55" s="6">
        <v>2</v>
      </c>
      <c r="T55" s="5">
        <v>0</v>
      </c>
      <c r="U55" s="6">
        <v>0</v>
      </c>
      <c r="V55" s="5">
        <v>0</v>
      </c>
      <c r="W55" s="6">
        <v>0</v>
      </c>
      <c r="X55" s="6">
        <f t="shared" si="5"/>
        <v>0.7</v>
      </c>
      <c r="Y55" s="6">
        <f t="shared" si="5"/>
        <v>0.7</v>
      </c>
    </row>
    <row r="56" spans="1:25" x14ac:dyDescent="0.25">
      <c r="A56" s="2" t="s">
        <v>664</v>
      </c>
      <c r="B56" s="2" t="s">
        <v>665</v>
      </c>
      <c r="C56" s="2" t="s">
        <v>177</v>
      </c>
      <c r="D56" s="5">
        <v>0</v>
      </c>
      <c r="E56" s="6">
        <v>0</v>
      </c>
      <c r="F56" s="5">
        <v>0</v>
      </c>
      <c r="G56" s="6">
        <v>0</v>
      </c>
      <c r="H56" s="5">
        <v>0</v>
      </c>
      <c r="I56" s="6">
        <v>0</v>
      </c>
      <c r="J56" s="5">
        <v>0</v>
      </c>
      <c r="K56" s="6">
        <v>0</v>
      </c>
      <c r="L56" s="5">
        <v>0</v>
      </c>
      <c r="M56" s="6">
        <v>0</v>
      </c>
      <c r="N56" s="5">
        <v>0</v>
      </c>
      <c r="O56" s="6">
        <v>0</v>
      </c>
      <c r="P56" s="5">
        <v>0</v>
      </c>
      <c r="Q56" s="6">
        <v>0</v>
      </c>
      <c r="R56" s="5">
        <v>2</v>
      </c>
      <c r="S56" s="6">
        <v>2</v>
      </c>
      <c r="T56" s="5">
        <v>4</v>
      </c>
      <c r="U56" s="6">
        <v>4</v>
      </c>
      <c r="V56" s="5">
        <v>6</v>
      </c>
      <c r="W56" s="6">
        <v>6</v>
      </c>
      <c r="X56" s="6">
        <f t="shared" si="5"/>
        <v>1.2</v>
      </c>
      <c r="Y56" s="6">
        <f t="shared" si="5"/>
        <v>1.2</v>
      </c>
    </row>
    <row r="57" spans="1:25" x14ac:dyDescent="0.25">
      <c r="A57" s="2" t="s">
        <v>664</v>
      </c>
      <c r="B57" s="2" t="s">
        <v>665</v>
      </c>
      <c r="C57" s="2" t="s">
        <v>178</v>
      </c>
      <c r="D57" s="5">
        <v>0</v>
      </c>
      <c r="E57" s="6">
        <v>0</v>
      </c>
      <c r="F57" s="5">
        <v>2</v>
      </c>
      <c r="G57" s="6">
        <v>2</v>
      </c>
      <c r="H57" s="5">
        <v>3</v>
      </c>
      <c r="I57" s="6">
        <v>3</v>
      </c>
      <c r="J57" s="5">
        <v>3</v>
      </c>
      <c r="K57" s="6">
        <v>3</v>
      </c>
      <c r="L57" s="5">
        <v>3</v>
      </c>
      <c r="M57" s="6">
        <v>3</v>
      </c>
      <c r="N57" s="5">
        <v>3</v>
      </c>
      <c r="O57" s="6">
        <v>3</v>
      </c>
      <c r="P57" s="5">
        <v>3</v>
      </c>
      <c r="Q57" s="6">
        <v>3</v>
      </c>
      <c r="R57" s="5">
        <v>5</v>
      </c>
      <c r="S57" s="6">
        <v>5</v>
      </c>
      <c r="T57" s="5">
        <v>6</v>
      </c>
      <c r="U57" s="6">
        <v>6</v>
      </c>
      <c r="V57" s="5">
        <v>8</v>
      </c>
      <c r="W57" s="6">
        <v>7.45</v>
      </c>
      <c r="X57" s="6">
        <f t="shared" si="5"/>
        <v>3.6</v>
      </c>
      <c r="Y57" s="6">
        <f t="shared" si="5"/>
        <v>3.55</v>
      </c>
    </row>
    <row r="58" spans="1:25" x14ac:dyDescent="0.25">
      <c r="A58" s="2" t="s">
        <v>50</v>
      </c>
      <c r="B58" s="2" t="s">
        <v>51</v>
      </c>
      <c r="C58" s="2" t="s">
        <v>52</v>
      </c>
      <c r="D58" s="5">
        <v>142</v>
      </c>
      <c r="E58" s="6">
        <v>141.80000000000001</v>
      </c>
      <c r="F58" s="5">
        <v>148</v>
      </c>
      <c r="G58" s="6">
        <v>147.80000000000001</v>
      </c>
      <c r="H58" s="5">
        <v>152</v>
      </c>
      <c r="I58" s="6">
        <v>151.80000000000001</v>
      </c>
      <c r="J58" s="5">
        <v>155</v>
      </c>
      <c r="K58" s="6">
        <v>154.80000000000001</v>
      </c>
      <c r="L58" s="5">
        <v>157</v>
      </c>
      <c r="M58" s="6">
        <v>156.80000000000001</v>
      </c>
      <c r="N58" s="5">
        <v>151</v>
      </c>
      <c r="O58" s="6">
        <v>150.80000000000001</v>
      </c>
      <c r="P58" s="5">
        <v>152</v>
      </c>
      <c r="Q58" s="6">
        <v>151.80000000000001</v>
      </c>
      <c r="R58" s="5">
        <v>157</v>
      </c>
      <c r="S58" s="6">
        <v>156.80000000000001</v>
      </c>
      <c r="T58" s="5">
        <v>157</v>
      </c>
      <c r="U58" s="6">
        <v>156.80000000000001</v>
      </c>
      <c r="V58" s="5">
        <v>157</v>
      </c>
      <c r="W58" s="6">
        <v>156.80000000000001</v>
      </c>
      <c r="X58" s="6">
        <f t="shared" si="5"/>
        <v>152.80000000000001</v>
      </c>
      <c r="Y58" s="6">
        <f t="shared" si="5"/>
        <v>152.6</v>
      </c>
    </row>
    <row r="59" spans="1:25" x14ac:dyDescent="0.25">
      <c r="A59" s="2" t="s">
        <v>119</v>
      </c>
      <c r="B59" s="2" t="s">
        <v>120</v>
      </c>
      <c r="C59" s="2" t="s">
        <v>121</v>
      </c>
      <c r="D59" s="5">
        <v>20</v>
      </c>
      <c r="E59" s="6">
        <v>18.95</v>
      </c>
      <c r="F59" s="5">
        <v>26</v>
      </c>
      <c r="G59" s="6">
        <v>24.160000000000004</v>
      </c>
      <c r="H59" s="5">
        <v>29</v>
      </c>
      <c r="I59" s="6">
        <v>26.7</v>
      </c>
      <c r="J59" s="5">
        <v>29</v>
      </c>
      <c r="K59" s="6">
        <v>26.7</v>
      </c>
      <c r="L59" s="5">
        <v>30</v>
      </c>
      <c r="M59" s="6">
        <v>27.61</v>
      </c>
      <c r="N59" s="5">
        <v>36</v>
      </c>
      <c r="O59" s="6">
        <v>33.650000000000006</v>
      </c>
      <c r="P59" s="5">
        <v>39</v>
      </c>
      <c r="Q59" s="6">
        <v>36.21</v>
      </c>
      <c r="R59" s="5">
        <v>42</v>
      </c>
      <c r="S59" s="6">
        <v>39.21</v>
      </c>
      <c r="T59" s="5">
        <v>45</v>
      </c>
      <c r="U59" s="6">
        <v>42.21</v>
      </c>
      <c r="V59" s="5">
        <v>44</v>
      </c>
      <c r="W59" s="6">
        <v>41.21</v>
      </c>
      <c r="X59" s="6">
        <f t="shared" si="5"/>
        <v>34</v>
      </c>
      <c r="Y59" s="6">
        <f t="shared" si="5"/>
        <v>31.66</v>
      </c>
    </row>
    <row r="60" spans="1:25" x14ac:dyDescent="0.25">
      <c r="A60" s="2" t="s">
        <v>362</v>
      </c>
      <c r="B60" s="2" t="s">
        <v>363</v>
      </c>
      <c r="C60" s="2" t="s">
        <v>364</v>
      </c>
      <c r="D60" s="5">
        <v>112</v>
      </c>
      <c r="E60" s="6">
        <v>101.2</v>
      </c>
      <c r="F60" s="5">
        <v>117</v>
      </c>
      <c r="G60" s="6">
        <v>105.8</v>
      </c>
      <c r="H60" s="5">
        <v>115</v>
      </c>
      <c r="I60" s="6">
        <v>103.8</v>
      </c>
      <c r="J60" s="5">
        <v>115</v>
      </c>
      <c r="K60" s="6">
        <v>103.8</v>
      </c>
      <c r="L60" s="5">
        <v>115</v>
      </c>
      <c r="M60" s="6">
        <v>103.8</v>
      </c>
      <c r="N60" s="5">
        <v>114</v>
      </c>
      <c r="O60" s="6">
        <v>102.83</v>
      </c>
      <c r="P60" s="5">
        <v>116</v>
      </c>
      <c r="Q60" s="6">
        <v>104.63</v>
      </c>
      <c r="R60" s="5">
        <v>116</v>
      </c>
      <c r="S60" s="6">
        <v>104.62999999999998</v>
      </c>
      <c r="T60" s="5">
        <v>116</v>
      </c>
      <c r="U60" s="6">
        <v>104.63</v>
      </c>
      <c r="V60" s="5">
        <v>113</v>
      </c>
      <c r="W60" s="6">
        <v>102.03</v>
      </c>
      <c r="X60" s="6">
        <f t="shared" si="5"/>
        <v>114.9</v>
      </c>
      <c r="Y60" s="6">
        <f t="shared" si="5"/>
        <v>103.72</v>
      </c>
    </row>
    <row r="61" spans="1:25" x14ac:dyDescent="0.25">
      <c r="A61" s="2" t="s">
        <v>362</v>
      </c>
      <c r="B61" s="2" t="s">
        <v>363</v>
      </c>
      <c r="C61" s="2" t="s">
        <v>365</v>
      </c>
      <c r="D61" s="5">
        <v>41</v>
      </c>
      <c r="E61" s="6">
        <v>11.649999999999999</v>
      </c>
      <c r="F61" s="5">
        <v>41</v>
      </c>
      <c r="G61" s="6">
        <v>11.649999999999999</v>
      </c>
      <c r="H61" s="5">
        <v>34</v>
      </c>
      <c r="I61" s="6">
        <v>9.6599999999999984</v>
      </c>
      <c r="J61" s="5">
        <v>33</v>
      </c>
      <c r="K61" s="6">
        <v>9.3699999999999992</v>
      </c>
      <c r="L61" s="5">
        <v>34</v>
      </c>
      <c r="M61" s="6">
        <v>9.6599999999999984</v>
      </c>
      <c r="N61" s="5">
        <v>33</v>
      </c>
      <c r="O61" s="6">
        <v>9.3699999999999992</v>
      </c>
      <c r="P61" s="5">
        <v>34</v>
      </c>
      <c r="Q61" s="6">
        <v>9.6599999999999984</v>
      </c>
      <c r="R61" s="5">
        <v>31</v>
      </c>
      <c r="S61" s="6">
        <v>8.7899999999999991</v>
      </c>
      <c r="T61" s="5">
        <v>31</v>
      </c>
      <c r="U61" s="6">
        <v>8.8299999999999983</v>
      </c>
      <c r="V61" s="5">
        <v>30</v>
      </c>
      <c r="W61" s="6">
        <v>8.5399999999999991</v>
      </c>
      <c r="X61" s="6">
        <f t="shared" si="5"/>
        <v>34.200000000000003</v>
      </c>
      <c r="Y61" s="6">
        <f t="shared" si="5"/>
        <v>9.7200000000000006</v>
      </c>
    </row>
    <row r="62" spans="1:25" x14ac:dyDescent="0.25">
      <c r="A62" s="2" t="s">
        <v>312</v>
      </c>
      <c r="B62" s="2" t="s">
        <v>313</v>
      </c>
      <c r="C62" s="2" t="s">
        <v>314</v>
      </c>
      <c r="D62" s="5">
        <v>30</v>
      </c>
      <c r="E62" s="6">
        <v>24.67</v>
      </c>
      <c r="F62" s="5">
        <v>30</v>
      </c>
      <c r="G62" s="6">
        <v>25.63</v>
      </c>
      <c r="H62" s="5">
        <v>37</v>
      </c>
      <c r="I62" s="6">
        <v>30.97</v>
      </c>
      <c r="J62" s="5">
        <v>40</v>
      </c>
      <c r="K62" s="6">
        <v>30.45</v>
      </c>
      <c r="L62" s="5">
        <v>37</v>
      </c>
      <c r="M62" s="6">
        <v>30.380000000000003</v>
      </c>
      <c r="N62" s="5">
        <v>40</v>
      </c>
      <c r="O62" s="6">
        <v>30.68</v>
      </c>
      <c r="P62" s="5">
        <v>36</v>
      </c>
      <c r="Q62" s="6">
        <v>27.839999999999996</v>
      </c>
      <c r="R62" s="5">
        <v>38</v>
      </c>
      <c r="S62" s="6">
        <v>29.619999999999997</v>
      </c>
      <c r="T62" s="5">
        <v>37</v>
      </c>
      <c r="U62" s="6">
        <v>28.299999999999997</v>
      </c>
      <c r="V62" s="5">
        <v>37</v>
      </c>
      <c r="W62" s="6">
        <v>28.3</v>
      </c>
      <c r="X62" s="6">
        <f t="shared" si="5"/>
        <v>36.200000000000003</v>
      </c>
      <c r="Y62" s="6">
        <f t="shared" si="5"/>
        <v>28.68</v>
      </c>
    </row>
    <row r="63" spans="1:25" x14ac:dyDescent="0.25">
      <c r="A63" s="2" t="s">
        <v>527</v>
      </c>
      <c r="B63" s="2" t="s">
        <v>528</v>
      </c>
      <c r="C63" s="2" t="s">
        <v>529</v>
      </c>
      <c r="D63" s="5">
        <v>86</v>
      </c>
      <c r="E63" s="6">
        <v>84.68</v>
      </c>
      <c r="F63" s="5">
        <v>101</v>
      </c>
      <c r="G63" s="6">
        <v>99.22</v>
      </c>
      <c r="H63" s="5">
        <v>110</v>
      </c>
      <c r="I63" s="6">
        <v>108.22</v>
      </c>
      <c r="J63" s="5">
        <v>119</v>
      </c>
      <c r="K63" s="6">
        <v>116.2</v>
      </c>
      <c r="L63" s="5">
        <v>118</v>
      </c>
      <c r="M63" s="6">
        <v>115.2</v>
      </c>
      <c r="N63" s="5">
        <v>130</v>
      </c>
      <c r="O63" s="6">
        <v>126.26</v>
      </c>
      <c r="P63" s="5">
        <v>134</v>
      </c>
      <c r="Q63" s="6">
        <v>129.52000000000001</v>
      </c>
      <c r="R63" s="5">
        <v>131</v>
      </c>
      <c r="S63" s="6">
        <v>125.62</v>
      </c>
      <c r="T63" s="5">
        <v>126</v>
      </c>
      <c r="U63" s="6">
        <v>122.9</v>
      </c>
      <c r="V63" s="5">
        <v>115</v>
      </c>
      <c r="W63" s="6">
        <v>111.9</v>
      </c>
      <c r="X63" s="6">
        <f t="shared" si="5"/>
        <v>117</v>
      </c>
      <c r="Y63" s="6">
        <f t="shared" si="5"/>
        <v>113.97</v>
      </c>
    </row>
    <row r="64" spans="1:25" x14ac:dyDescent="0.25">
      <c r="A64" s="2" t="s">
        <v>527</v>
      </c>
      <c r="B64" s="2" t="s">
        <v>528</v>
      </c>
      <c r="C64" s="2" t="s">
        <v>530</v>
      </c>
      <c r="D64" s="5">
        <v>591</v>
      </c>
      <c r="E64" s="6">
        <v>546.48000000000013</v>
      </c>
      <c r="F64" s="5">
        <v>585</v>
      </c>
      <c r="G64" s="6">
        <v>539.72</v>
      </c>
      <c r="H64" s="5">
        <v>579</v>
      </c>
      <c r="I64" s="6">
        <v>534.52</v>
      </c>
      <c r="J64" s="5">
        <v>575</v>
      </c>
      <c r="K64" s="6">
        <v>531.02</v>
      </c>
      <c r="L64" s="5">
        <v>571</v>
      </c>
      <c r="M64" s="6">
        <v>527.61999999999989</v>
      </c>
      <c r="N64" s="5">
        <v>560</v>
      </c>
      <c r="O64" s="6">
        <v>515.62</v>
      </c>
      <c r="P64" s="5">
        <v>563</v>
      </c>
      <c r="Q64" s="6">
        <v>515.49</v>
      </c>
      <c r="R64" s="5">
        <v>562</v>
      </c>
      <c r="S64" s="6">
        <v>515.29</v>
      </c>
      <c r="T64" s="5">
        <v>561</v>
      </c>
      <c r="U64" s="6">
        <v>514.99</v>
      </c>
      <c r="V64" s="5">
        <v>561</v>
      </c>
      <c r="W64" s="6">
        <v>514.99</v>
      </c>
      <c r="X64" s="6">
        <f t="shared" si="5"/>
        <v>570.79999999999995</v>
      </c>
      <c r="Y64" s="6">
        <f t="shared" si="5"/>
        <v>525.57000000000005</v>
      </c>
    </row>
    <row r="65" spans="1:25" x14ac:dyDescent="0.25">
      <c r="A65" s="2" t="s">
        <v>515</v>
      </c>
      <c r="B65" s="2" t="s">
        <v>516</v>
      </c>
      <c r="C65" s="2" t="s">
        <v>517</v>
      </c>
      <c r="D65" s="5">
        <v>50</v>
      </c>
      <c r="E65" s="6">
        <v>44.589999999999996</v>
      </c>
      <c r="F65" s="5">
        <v>55</v>
      </c>
      <c r="G65" s="6">
        <v>47.61</v>
      </c>
      <c r="H65" s="5">
        <v>54</v>
      </c>
      <c r="I65" s="6">
        <v>47.44</v>
      </c>
      <c r="J65" s="5">
        <v>53</v>
      </c>
      <c r="K65" s="6">
        <v>46.44</v>
      </c>
      <c r="L65" s="5">
        <v>54</v>
      </c>
      <c r="M65" s="6">
        <v>47.44</v>
      </c>
      <c r="N65" s="5">
        <v>50</v>
      </c>
      <c r="O65" s="6">
        <v>43.41</v>
      </c>
      <c r="P65" s="5">
        <v>57</v>
      </c>
      <c r="Q65" s="6">
        <v>49.55</v>
      </c>
      <c r="R65" s="5">
        <v>55</v>
      </c>
      <c r="S65" s="6">
        <v>47.56</v>
      </c>
      <c r="T65" s="5">
        <v>54</v>
      </c>
      <c r="U65" s="6">
        <v>47.23</v>
      </c>
      <c r="V65" s="5">
        <v>45</v>
      </c>
      <c r="W65" s="6">
        <v>38.83</v>
      </c>
      <c r="X65" s="6">
        <f t="shared" si="5"/>
        <v>52.7</v>
      </c>
      <c r="Y65" s="6">
        <f t="shared" si="5"/>
        <v>46.01</v>
      </c>
    </row>
    <row r="66" spans="1:25" x14ac:dyDescent="0.25">
      <c r="A66" s="2" t="s">
        <v>515</v>
      </c>
      <c r="B66" s="2" t="s">
        <v>516</v>
      </c>
      <c r="C66" s="2" t="s">
        <v>461</v>
      </c>
      <c r="D66" s="5">
        <v>212</v>
      </c>
      <c r="E66" s="6">
        <v>197.52999999999997</v>
      </c>
      <c r="F66" s="5">
        <v>226</v>
      </c>
      <c r="G66" s="6">
        <v>209.82999999999998</v>
      </c>
      <c r="H66" s="5">
        <v>232</v>
      </c>
      <c r="I66" s="6">
        <v>214.54999999999998</v>
      </c>
      <c r="J66" s="5">
        <v>237</v>
      </c>
      <c r="K66" s="6">
        <v>219.54999999999998</v>
      </c>
      <c r="L66" s="5">
        <v>228</v>
      </c>
      <c r="M66" s="6">
        <v>209.14999999999998</v>
      </c>
      <c r="N66" s="5">
        <v>226</v>
      </c>
      <c r="O66" s="6">
        <v>205.63000000000002</v>
      </c>
      <c r="P66" s="5">
        <v>231</v>
      </c>
      <c r="Q66" s="6">
        <v>210.52</v>
      </c>
      <c r="R66" s="5">
        <v>236</v>
      </c>
      <c r="S66" s="6">
        <v>214.96</v>
      </c>
      <c r="T66" s="5">
        <v>234</v>
      </c>
      <c r="U66" s="6">
        <v>213.56</v>
      </c>
      <c r="V66" s="5">
        <v>233</v>
      </c>
      <c r="W66" s="6">
        <v>213.16</v>
      </c>
      <c r="X66" s="6">
        <f t="shared" si="5"/>
        <v>229.5</v>
      </c>
      <c r="Y66" s="6">
        <f t="shared" si="5"/>
        <v>210.84</v>
      </c>
    </row>
    <row r="67" spans="1:25" x14ac:dyDescent="0.25">
      <c r="A67" s="2" t="s">
        <v>621</v>
      </c>
      <c r="B67" s="2" t="s">
        <v>622</v>
      </c>
      <c r="C67" s="2" t="s">
        <v>17</v>
      </c>
      <c r="D67" s="5">
        <v>21</v>
      </c>
      <c r="E67" s="6">
        <v>21</v>
      </c>
      <c r="F67" s="5">
        <v>26</v>
      </c>
      <c r="G67" s="6">
        <v>26</v>
      </c>
      <c r="H67" s="5">
        <v>28</v>
      </c>
      <c r="I67" s="6">
        <v>28</v>
      </c>
      <c r="J67" s="5">
        <v>29</v>
      </c>
      <c r="K67" s="6">
        <v>29</v>
      </c>
      <c r="L67" s="5">
        <v>29</v>
      </c>
      <c r="M67" s="6">
        <v>29</v>
      </c>
      <c r="N67" s="5">
        <v>31</v>
      </c>
      <c r="O67" s="6">
        <v>31</v>
      </c>
      <c r="P67" s="5">
        <v>30</v>
      </c>
      <c r="Q67" s="6">
        <v>30</v>
      </c>
      <c r="R67" s="5">
        <v>29</v>
      </c>
      <c r="S67" s="6">
        <v>29</v>
      </c>
      <c r="T67" s="5">
        <v>30</v>
      </c>
      <c r="U67" s="6">
        <v>30</v>
      </c>
      <c r="V67" s="5">
        <v>29</v>
      </c>
      <c r="W67" s="6">
        <v>29</v>
      </c>
      <c r="X67" s="6">
        <f t="shared" si="5"/>
        <v>28.2</v>
      </c>
      <c r="Y67" s="6">
        <f t="shared" si="5"/>
        <v>28.2</v>
      </c>
    </row>
    <row r="68" spans="1:25" x14ac:dyDescent="0.25">
      <c r="A68" s="2" t="s">
        <v>116</v>
      </c>
      <c r="B68" s="2" t="s">
        <v>117</v>
      </c>
      <c r="C68" s="2" t="s">
        <v>118</v>
      </c>
      <c r="D68" s="5">
        <v>141</v>
      </c>
      <c r="E68" s="6">
        <v>116.53</v>
      </c>
      <c r="F68" s="5">
        <v>176</v>
      </c>
      <c r="G68" s="6">
        <v>143.35</v>
      </c>
      <c r="H68" s="5">
        <v>185</v>
      </c>
      <c r="I68" s="6">
        <v>158.02000000000001</v>
      </c>
      <c r="J68" s="5">
        <v>195</v>
      </c>
      <c r="K68" s="6">
        <v>166.87</v>
      </c>
      <c r="L68" s="5">
        <v>207</v>
      </c>
      <c r="M68" s="6">
        <v>178.71</v>
      </c>
      <c r="N68" s="5">
        <v>213</v>
      </c>
      <c r="O68" s="6">
        <v>183.67</v>
      </c>
      <c r="P68" s="5">
        <v>234</v>
      </c>
      <c r="Q68" s="6">
        <v>191.48</v>
      </c>
      <c r="R68" s="5">
        <v>232</v>
      </c>
      <c r="S68" s="6">
        <v>194.23999999999998</v>
      </c>
      <c r="T68" s="5">
        <v>227</v>
      </c>
      <c r="U68" s="6">
        <v>197.94</v>
      </c>
      <c r="V68" s="5">
        <v>229</v>
      </c>
      <c r="W68" s="6">
        <v>201.19</v>
      </c>
      <c r="X68" s="6">
        <f t="shared" si="5"/>
        <v>203.9</v>
      </c>
      <c r="Y68" s="6">
        <f t="shared" si="5"/>
        <v>173.2</v>
      </c>
    </row>
    <row r="69" spans="1:25" x14ac:dyDescent="0.25">
      <c r="A69" s="2" t="s">
        <v>388</v>
      </c>
      <c r="B69" s="2" t="s">
        <v>389</v>
      </c>
      <c r="C69" s="2" t="s">
        <v>390</v>
      </c>
      <c r="D69" s="5">
        <v>35</v>
      </c>
      <c r="E69" s="6">
        <v>17.82</v>
      </c>
      <c r="F69" s="5">
        <v>43</v>
      </c>
      <c r="G69" s="6">
        <v>23.35</v>
      </c>
      <c r="H69" s="5">
        <v>45</v>
      </c>
      <c r="I69" s="6">
        <v>25.18</v>
      </c>
      <c r="J69" s="5">
        <v>47</v>
      </c>
      <c r="K69" s="6">
        <v>26.69</v>
      </c>
      <c r="L69" s="5">
        <v>49</v>
      </c>
      <c r="M69" s="6">
        <v>28.69</v>
      </c>
      <c r="N69" s="5">
        <v>70</v>
      </c>
      <c r="O69" s="6">
        <v>43.43</v>
      </c>
      <c r="P69" s="5">
        <v>74</v>
      </c>
      <c r="Q69" s="6">
        <v>42.49</v>
      </c>
      <c r="R69" s="5">
        <v>71</v>
      </c>
      <c r="S69" s="6">
        <v>40.64</v>
      </c>
      <c r="T69" s="5">
        <v>69</v>
      </c>
      <c r="U69" s="6">
        <v>39.64</v>
      </c>
      <c r="V69" s="5">
        <v>52</v>
      </c>
      <c r="W69" s="6">
        <v>32.35</v>
      </c>
      <c r="X69" s="6">
        <f t="shared" si="5"/>
        <v>55.5</v>
      </c>
      <c r="Y69" s="6">
        <f t="shared" si="5"/>
        <v>32.03</v>
      </c>
    </row>
    <row r="70" spans="1:25" x14ac:dyDescent="0.25">
      <c r="A70" s="2" t="s">
        <v>388</v>
      </c>
      <c r="B70" s="2" t="s">
        <v>389</v>
      </c>
      <c r="C70" s="2" t="s">
        <v>391</v>
      </c>
      <c r="D70" s="5">
        <v>32</v>
      </c>
      <c r="E70" s="6">
        <v>10.97</v>
      </c>
      <c r="F70" s="5">
        <v>52</v>
      </c>
      <c r="G70" s="6">
        <v>18.05</v>
      </c>
      <c r="H70" s="5">
        <v>53</v>
      </c>
      <c r="I70" s="6">
        <v>19.37</v>
      </c>
      <c r="J70" s="5">
        <v>56</v>
      </c>
      <c r="K70" s="6">
        <v>20.9</v>
      </c>
      <c r="L70" s="5">
        <v>56</v>
      </c>
      <c r="M70" s="6">
        <v>20.73</v>
      </c>
      <c r="N70" s="5">
        <v>84</v>
      </c>
      <c r="O70" s="6">
        <v>25.17</v>
      </c>
      <c r="P70" s="5">
        <v>88</v>
      </c>
      <c r="Q70" s="6">
        <v>26.02</v>
      </c>
      <c r="R70" s="5">
        <v>87</v>
      </c>
      <c r="S70" s="6">
        <v>25.51</v>
      </c>
      <c r="T70" s="5">
        <v>83</v>
      </c>
      <c r="U70" s="6">
        <v>23.15</v>
      </c>
      <c r="V70" s="5">
        <v>83</v>
      </c>
      <c r="W70" s="6">
        <v>23.15</v>
      </c>
      <c r="X70" s="6">
        <f t="shared" ref="X70:Y133" si="6">ROUND((R70+P70+N70+L70+J70+H70+D70+F70+T70+V70)/10,2)</f>
        <v>67.400000000000006</v>
      </c>
      <c r="Y70" s="6">
        <f t="shared" si="6"/>
        <v>21.3</v>
      </c>
    </row>
    <row r="71" spans="1:25" x14ac:dyDescent="0.25">
      <c r="A71" s="2" t="s">
        <v>438</v>
      </c>
      <c r="B71" s="2" t="s">
        <v>439</v>
      </c>
      <c r="C71" s="2" t="s">
        <v>440</v>
      </c>
      <c r="D71" s="5">
        <v>357</v>
      </c>
      <c r="E71" s="6">
        <v>235.73000000000002</v>
      </c>
      <c r="F71" s="5">
        <v>473</v>
      </c>
      <c r="G71" s="6">
        <v>273.87</v>
      </c>
      <c r="H71" s="5">
        <v>492</v>
      </c>
      <c r="I71" s="6">
        <v>293.81</v>
      </c>
      <c r="J71" s="5">
        <v>495</v>
      </c>
      <c r="K71" s="6">
        <v>288.89</v>
      </c>
      <c r="L71" s="5">
        <v>478</v>
      </c>
      <c r="M71" s="6">
        <v>288.09999999999997</v>
      </c>
      <c r="N71" s="5">
        <v>491</v>
      </c>
      <c r="O71" s="6">
        <v>307.89</v>
      </c>
      <c r="P71" s="5">
        <v>533</v>
      </c>
      <c r="Q71" s="6">
        <v>326.49</v>
      </c>
      <c r="R71" s="5">
        <v>538</v>
      </c>
      <c r="S71" s="6">
        <v>340.49</v>
      </c>
      <c r="T71" s="5">
        <v>539</v>
      </c>
      <c r="U71" s="6">
        <v>347.19</v>
      </c>
      <c r="V71" s="5">
        <v>512</v>
      </c>
      <c r="W71" s="6">
        <v>345.05</v>
      </c>
      <c r="X71" s="6">
        <f t="shared" si="6"/>
        <v>490.8</v>
      </c>
      <c r="Y71" s="6">
        <f t="shared" si="6"/>
        <v>304.75</v>
      </c>
    </row>
    <row r="72" spans="1:25" x14ac:dyDescent="0.25">
      <c r="A72" s="2" t="s">
        <v>438</v>
      </c>
      <c r="B72" s="2" t="s">
        <v>439</v>
      </c>
      <c r="C72" s="2" t="s">
        <v>441</v>
      </c>
      <c r="D72" s="5">
        <v>584</v>
      </c>
      <c r="E72" s="6">
        <v>549.41</v>
      </c>
      <c r="F72" s="5">
        <v>587</v>
      </c>
      <c r="G72" s="6">
        <v>552.5</v>
      </c>
      <c r="H72" s="5">
        <v>579</v>
      </c>
      <c r="I72" s="6">
        <v>544.38</v>
      </c>
      <c r="J72" s="5">
        <v>579</v>
      </c>
      <c r="K72" s="6">
        <v>545.16</v>
      </c>
      <c r="L72" s="5">
        <v>581</v>
      </c>
      <c r="M72" s="6">
        <v>547.04</v>
      </c>
      <c r="N72" s="5">
        <v>581</v>
      </c>
      <c r="O72" s="6">
        <v>542.02</v>
      </c>
      <c r="P72" s="5">
        <v>583</v>
      </c>
      <c r="Q72" s="6">
        <v>542.01</v>
      </c>
      <c r="R72" s="5">
        <v>575</v>
      </c>
      <c r="S72" s="6">
        <v>535.76</v>
      </c>
      <c r="T72" s="5">
        <v>568</v>
      </c>
      <c r="U72" s="6">
        <v>527.94000000000005</v>
      </c>
      <c r="V72" s="5">
        <v>563</v>
      </c>
      <c r="W72" s="6">
        <v>524.01</v>
      </c>
      <c r="X72" s="6">
        <f t="shared" si="6"/>
        <v>578</v>
      </c>
      <c r="Y72" s="6">
        <f t="shared" si="6"/>
        <v>541.02</v>
      </c>
    </row>
    <row r="73" spans="1:25" x14ac:dyDescent="0.25">
      <c r="A73" s="2" t="s">
        <v>275</v>
      </c>
      <c r="B73" s="2" t="s">
        <v>276</v>
      </c>
      <c r="C73" s="2" t="s">
        <v>277</v>
      </c>
      <c r="D73" s="5">
        <v>155</v>
      </c>
      <c r="E73" s="6">
        <v>146.53</v>
      </c>
      <c r="F73" s="5">
        <v>140</v>
      </c>
      <c r="G73" s="6">
        <v>135.47999999999999</v>
      </c>
      <c r="H73" s="5">
        <v>141</v>
      </c>
      <c r="I73" s="6">
        <v>136.15</v>
      </c>
      <c r="J73" s="5">
        <v>140</v>
      </c>
      <c r="K73" s="6">
        <v>135.04</v>
      </c>
      <c r="L73" s="5">
        <v>142</v>
      </c>
      <c r="M73" s="6">
        <v>137.25</v>
      </c>
      <c r="N73" s="5">
        <v>170</v>
      </c>
      <c r="O73" s="6">
        <v>165.87</v>
      </c>
      <c r="P73" s="5">
        <v>168</v>
      </c>
      <c r="Q73" s="6">
        <v>163.44999999999999</v>
      </c>
      <c r="R73" s="5">
        <v>163</v>
      </c>
      <c r="S73" s="6">
        <v>157.12</v>
      </c>
      <c r="T73" s="5">
        <v>161</v>
      </c>
      <c r="U73" s="6">
        <v>154.68</v>
      </c>
      <c r="V73" s="5">
        <v>158</v>
      </c>
      <c r="W73" s="6">
        <v>151.28</v>
      </c>
      <c r="X73" s="6">
        <f t="shared" si="6"/>
        <v>153.80000000000001</v>
      </c>
      <c r="Y73" s="6">
        <f t="shared" si="6"/>
        <v>148.29</v>
      </c>
    </row>
    <row r="74" spans="1:25" x14ac:dyDescent="0.25">
      <c r="A74" s="2" t="s">
        <v>159</v>
      </c>
      <c r="B74" s="2" t="s">
        <v>160</v>
      </c>
      <c r="C74" s="2" t="s">
        <v>161</v>
      </c>
      <c r="D74" s="5">
        <v>43</v>
      </c>
      <c r="E74" s="6">
        <v>29.7</v>
      </c>
      <c r="F74" s="5">
        <v>65</v>
      </c>
      <c r="G74" s="6">
        <v>43.22</v>
      </c>
      <c r="H74" s="5">
        <v>76</v>
      </c>
      <c r="I74" s="6">
        <v>48.5</v>
      </c>
      <c r="J74" s="5">
        <v>74</v>
      </c>
      <c r="K74" s="6">
        <v>49.76</v>
      </c>
      <c r="L74" s="5">
        <v>78</v>
      </c>
      <c r="M74" s="6">
        <v>53.199999999999996</v>
      </c>
      <c r="N74" s="5">
        <v>84</v>
      </c>
      <c r="O74" s="6">
        <v>57.54</v>
      </c>
      <c r="P74" s="5">
        <v>91</v>
      </c>
      <c r="Q74" s="6">
        <v>59.52</v>
      </c>
      <c r="R74" s="5">
        <v>91</v>
      </c>
      <c r="S74" s="6">
        <v>60.260000000000005</v>
      </c>
      <c r="T74" s="5">
        <v>92</v>
      </c>
      <c r="U74" s="6">
        <v>53.36</v>
      </c>
      <c r="V74" s="5">
        <v>92</v>
      </c>
      <c r="W74" s="6">
        <v>55.36</v>
      </c>
      <c r="X74" s="6">
        <f t="shared" si="6"/>
        <v>78.599999999999994</v>
      </c>
      <c r="Y74" s="6">
        <f t="shared" si="6"/>
        <v>51.04</v>
      </c>
    </row>
    <row r="75" spans="1:25" x14ac:dyDescent="0.25">
      <c r="A75" s="2" t="s">
        <v>159</v>
      </c>
      <c r="B75" s="2" t="s">
        <v>160</v>
      </c>
      <c r="C75" s="2" t="s">
        <v>162</v>
      </c>
      <c r="D75" s="5">
        <v>26</v>
      </c>
      <c r="E75" s="6">
        <v>12.4</v>
      </c>
      <c r="F75" s="5">
        <v>38</v>
      </c>
      <c r="G75" s="6">
        <v>17.46</v>
      </c>
      <c r="H75" s="5">
        <v>44</v>
      </c>
      <c r="I75" s="6">
        <v>19.28</v>
      </c>
      <c r="J75" s="5">
        <v>44</v>
      </c>
      <c r="K75" s="6">
        <v>18.68</v>
      </c>
      <c r="L75" s="5">
        <v>43</v>
      </c>
      <c r="M75" s="6">
        <v>18.82</v>
      </c>
      <c r="N75" s="5">
        <v>44</v>
      </c>
      <c r="O75" s="6">
        <v>18.559999999999999</v>
      </c>
      <c r="P75" s="5">
        <v>39</v>
      </c>
      <c r="Q75" s="6">
        <v>17.079999999999998</v>
      </c>
      <c r="R75" s="5">
        <v>40</v>
      </c>
      <c r="S75" s="6">
        <v>17.28</v>
      </c>
      <c r="T75" s="5">
        <v>40</v>
      </c>
      <c r="U75" s="6">
        <v>16.7</v>
      </c>
      <c r="V75" s="5">
        <v>40</v>
      </c>
      <c r="W75" s="6">
        <v>17.100000000000001</v>
      </c>
      <c r="X75" s="6">
        <f t="shared" si="6"/>
        <v>39.799999999999997</v>
      </c>
      <c r="Y75" s="6">
        <f t="shared" si="6"/>
        <v>17.34</v>
      </c>
    </row>
    <row r="76" spans="1:25" x14ac:dyDescent="0.25">
      <c r="A76" s="2" t="s">
        <v>159</v>
      </c>
      <c r="B76" s="2" t="s">
        <v>160</v>
      </c>
      <c r="C76" s="2" t="s">
        <v>163</v>
      </c>
      <c r="D76" s="5">
        <v>7</v>
      </c>
      <c r="E76" s="6">
        <v>6.1</v>
      </c>
      <c r="F76" s="5">
        <v>7</v>
      </c>
      <c r="G76" s="6">
        <v>5.5</v>
      </c>
      <c r="H76" s="5">
        <v>13</v>
      </c>
      <c r="I76" s="6">
        <v>9.82</v>
      </c>
      <c r="J76" s="5">
        <v>15</v>
      </c>
      <c r="K76" s="6">
        <v>10.48</v>
      </c>
      <c r="L76" s="5">
        <v>16</v>
      </c>
      <c r="M76" s="6">
        <v>10.94</v>
      </c>
      <c r="N76" s="5">
        <v>22</v>
      </c>
      <c r="O76" s="6">
        <v>16.82</v>
      </c>
      <c r="P76" s="5">
        <v>25</v>
      </c>
      <c r="Q76" s="6">
        <v>18.440000000000001</v>
      </c>
      <c r="R76" s="5">
        <v>25</v>
      </c>
      <c r="S76" s="6">
        <v>18.440000000000001</v>
      </c>
      <c r="T76" s="5">
        <v>24</v>
      </c>
      <c r="U76" s="6">
        <v>17.68</v>
      </c>
      <c r="V76" s="5">
        <v>23</v>
      </c>
      <c r="W76" s="6">
        <v>17.5</v>
      </c>
      <c r="X76" s="6">
        <f t="shared" si="6"/>
        <v>17.7</v>
      </c>
      <c r="Y76" s="6">
        <f t="shared" si="6"/>
        <v>13.17</v>
      </c>
    </row>
    <row r="77" spans="1:25" x14ac:dyDescent="0.25">
      <c r="A77" s="2" t="s">
        <v>143</v>
      </c>
      <c r="B77" s="2" t="s">
        <v>144</v>
      </c>
      <c r="C77" s="2" t="s">
        <v>145</v>
      </c>
      <c r="D77" s="5">
        <v>14</v>
      </c>
      <c r="E77" s="6">
        <v>5.94</v>
      </c>
      <c r="F77" s="5">
        <v>17</v>
      </c>
      <c r="G77" s="6">
        <v>7.2</v>
      </c>
      <c r="H77" s="5">
        <v>29</v>
      </c>
      <c r="I77" s="6">
        <v>13.139999999999999</v>
      </c>
      <c r="J77" s="5">
        <v>32</v>
      </c>
      <c r="K77" s="6">
        <v>13.32</v>
      </c>
      <c r="L77" s="5">
        <v>31</v>
      </c>
      <c r="M77" s="6">
        <v>13.5</v>
      </c>
      <c r="N77" s="5">
        <v>31</v>
      </c>
      <c r="O77" s="6">
        <v>14.5</v>
      </c>
      <c r="P77" s="5">
        <v>31</v>
      </c>
      <c r="Q77" s="6">
        <v>14.86</v>
      </c>
      <c r="R77" s="5">
        <v>32</v>
      </c>
      <c r="S77" s="6">
        <v>13.42</v>
      </c>
      <c r="T77" s="5">
        <v>34</v>
      </c>
      <c r="U77" s="6">
        <v>18.28</v>
      </c>
      <c r="V77" s="5">
        <v>36</v>
      </c>
      <c r="W77" s="6">
        <v>15.12</v>
      </c>
      <c r="X77" s="6">
        <f t="shared" si="6"/>
        <v>28.7</v>
      </c>
      <c r="Y77" s="6">
        <f t="shared" si="6"/>
        <v>12.93</v>
      </c>
    </row>
    <row r="78" spans="1:25" x14ac:dyDescent="0.25">
      <c r="A78" s="2" t="s">
        <v>143</v>
      </c>
      <c r="B78" s="2" t="s">
        <v>144</v>
      </c>
      <c r="C78" s="2" t="s">
        <v>146</v>
      </c>
      <c r="D78" s="5">
        <v>4</v>
      </c>
      <c r="E78" s="6">
        <v>2.9</v>
      </c>
      <c r="F78" s="5">
        <v>7</v>
      </c>
      <c r="G78" s="6">
        <v>4.9800000000000004</v>
      </c>
      <c r="H78" s="5">
        <v>11</v>
      </c>
      <c r="I78" s="6">
        <v>8.98</v>
      </c>
      <c r="J78" s="5">
        <v>14</v>
      </c>
      <c r="K78" s="6">
        <v>10.88</v>
      </c>
      <c r="L78" s="5">
        <v>19</v>
      </c>
      <c r="M78" s="6">
        <v>15.42</v>
      </c>
      <c r="N78" s="5">
        <v>22</v>
      </c>
      <c r="O78" s="6">
        <v>19.059999999999999</v>
      </c>
      <c r="P78" s="5">
        <v>26</v>
      </c>
      <c r="Q78" s="6">
        <v>23.06</v>
      </c>
      <c r="R78" s="5">
        <v>26</v>
      </c>
      <c r="S78" s="6">
        <v>22.24</v>
      </c>
      <c r="T78" s="5">
        <v>29</v>
      </c>
      <c r="U78" s="6">
        <v>25.12</v>
      </c>
      <c r="V78" s="5">
        <v>30</v>
      </c>
      <c r="W78" s="6">
        <v>25.66</v>
      </c>
      <c r="X78" s="6">
        <f t="shared" si="6"/>
        <v>18.8</v>
      </c>
      <c r="Y78" s="6">
        <f t="shared" si="6"/>
        <v>15.83</v>
      </c>
    </row>
    <row r="79" spans="1:25" x14ac:dyDescent="0.25">
      <c r="A79" s="2" t="s">
        <v>423</v>
      </c>
      <c r="B79" s="2" t="s">
        <v>424</v>
      </c>
      <c r="C79" s="2" t="s">
        <v>425</v>
      </c>
      <c r="D79" s="5">
        <v>51</v>
      </c>
      <c r="E79" s="6">
        <v>51</v>
      </c>
      <c r="F79" s="5">
        <v>47</v>
      </c>
      <c r="G79" s="6">
        <v>47</v>
      </c>
      <c r="H79" s="5">
        <v>48</v>
      </c>
      <c r="I79" s="6">
        <v>48</v>
      </c>
      <c r="J79" s="5">
        <v>44</v>
      </c>
      <c r="K79" s="6">
        <v>44</v>
      </c>
      <c r="L79" s="5">
        <v>52</v>
      </c>
      <c r="M79" s="6">
        <v>52</v>
      </c>
      <c r="N79" s="5">
        <v>59</v>
      </c>
      <c r="O79" s="6">
        <v>59</v>
      </c>
      <c r="P79" s="5">
        <v>70</v>
      </c>
      <c r="Q79" s="6">
        <v>70</v>
      </c>
      <c r="R79" s="5">
        <v>74</v>
      </c>
      <c r="S79" s="6">
        <v>74</v>
      </c>
      <c r="T79" s="5">
        <v>88</v>
      </c>
      <c r="U79" s="6">
        <v>88</v>
      </c>
      <c r="V79" s="5">
        <v>89</v>
      </c>
      <c r="W79" s="6">
        <v>89</v>
      </c>
      <c r="X79" s="6">
        <f t="shared" si="6"/>
        <v>62.2</v>
      </c>
      <c r="Y79" s="6">
        <f t="shared" si="6"/>
        <v>62.2</v>
      </c>
    </row>
    <row r="80" spans="1:25" x14ac:dyDescent="0.25">
      <c r="A80" s="2" t="s">
        <v>423</v>
      </c>
      <c r="B80" s="2" t="s">
        <v>424</v>
      </c>
      <c r="C80" s="2" t="s">
        <v>426</v>
      </c>
      <c r="D80" s="5">
        <v>78</v>
      </c>
      <c r="E80" s="6">
        <v>78</v>
      </c>
      <c r="F80" s="5">
        <v>78</v>
      </c>
      <c r="G80" s="6">
        <v>77.790000000000006</v>
      </c>
      <c r="H80" s="5">
        <v>76</v>
      </c>
      <c r="I80" s="6">
        <v>75.790000000000006</v>
      </c>
      <c r="J80" s="5">
        <v>74</v>
      </c>
      <c r="K80" s="6">
        <v>73.790000000000006</v>
      </c>
      <c r="L80" s="5">
        <v>73</v>
      </c>
      <c r="M80" s="6">
        <v>73</v>
      </c>
      <c r="N80" s="5">
        <v>77</v>
      </c>
      <c r="O80" s="6">
        <v>76.430000000000007</v>
      </c>
      <c r="P80" s="5">
        <v>76</v>
      </c>
      <c r="Q80" s="6">
        <v>75.5</v>
      </c>
      <c r="R80" s="5">
        <v>76</v>
      </c>
      <c r="S80" s="6">
        <v>75.5</v>
      </c>
      <c r="T80" s="5">
        <v>76</v>
      </c>
      <c r="U80" s="6">
        <v>75.5</v>
      </c>
      <c r="V80" s="5">
        <v>76</v>
      </c>
      <c r="W80" s="6">
        <v>75.5</v>
      </c>
      <c r="X80" s="6">
        <f t="shared" si="6"/>
        <v>76</v>
      </c>
      <c r="Y80" s="6">
        <f t="shared" si="6"/>
        <v>75.680000000000007</v>
      </c>
    </row>
    <row r="81" spans="1:25" x14ac:dyDescent="0.25">
      <c r="A81" s="2" t="s">
        <v>423</v>
      </c>
      <c r="B81" s="2" t="s">
        <v>424</v>
      </c>
      <c r="C81" s="2" t="s">
        <v>427</v>
      </c>
      <c r="D81" s="5">
        <v>116</v>
      </c>
      <c r="E81" s="6">
        <v>115.46</v>
      </c>
      <c r="F81" s="5">
        <v>148</v>
      </c>
      <c r="G81" s="6">
        <v>146.58000000000001</v>
      </c>
      <c r="H81" s="5">
        <v>155</v>
      </c>
      <c r="I81" s="6">
        <v>153.69999999999999</v>
      </c>
      <c r="J81" s="5">
        <v>159</v>
      </c>
      <c r="K81" s="6">
        <v>157.22</v>
      </c>
      <c r="L81" s="5">
        <v>165</v>
      </c>
      <c r="M81" s="6">
        <v>160.26</v>
      </c>
      <c r="N81" s="5">
        <v>169</v>
      </c>
      <c r="O81" s="6">
        <v>164.34</v>
      </c>
      <c r="P81" s="5">
        <v>171</v>
      </c>
      <c r="Q81" s="6">
        <v>166.39</v>
      </c>
      <c r="R81" s="5">
        <v>176</v>
      </c>
      <c r="S81" s="6">
        <v>170.57</v>
      </c>
      <c r="T81" s="5">
        <v>175</v>
      </c>
      <c r="U81" s="6">
        <v>168.55</v>
      </c>
      <c r="V81" s="5">
        <v>165</v>
      </c>
      <c r="W81" s="6">
        <v>154.13</v>
      </c>
      <c r="X81" s="6">
        <f t="shared" si="6"/>
        <v>159.9</v>
      </c>
      <c r="Y81" s="6">
        <f t="shared" si="6"/>
        <v>155.72</v>
      </c>
    </row>
    <row r="82" spans="1:25" x14ac:dyDescent="0.25">
      <c r="A82" s="2" t="s">
        <v>423</v>
      </c>
      <c r="B82" s="2" t="s">
        <v>424</v>
      </c>
      <c r="C82" s="2" t="s">
        <v>428</v>
      </c>
      <c r="D82" s="5">
        <v>201</v>
      </c>
      <c r="E82" s="6">
        <v>35.78</v>
      </c>
      <c r="F82" s="5">
        <v>240</v>
      </c>
      <c r="G82" s="6">
        <v>41.680000000000007</v>
      </c>
      <c r="H82" s="5">
        <v>238</v>
      </c>
      <c r="I82" s="6">
        <v>41.53</v>
      </c>
      <c r="J82" s="5">
        <v>235</v>
      </c>
      <c r="K82" s="6">
        <v>41.000000000000007</v>
      </c>
      <c r="L82" s="5">
        <v>251</v>
      </c>
      <c r="M82" s="6">
        <v>43.58</v>
      </c>
      <c r="N82" s="5">
        <v>207</v>
      </c>
      <c r="O82" s="6">
        <v>35.82</v>
      </c>
      <c r="P82" s="5">
        <v>255</v>
      </c>
      <c r="Q82" s="6">
        <v>43.599999999999994</v>
      </c>
      <c r="R82" s="5">
        <v>248</v>
      </c>
      <c r="S82" s="6">
        <v>42.56</v>
      </c>
      <c r="T82" s="5">
        <v>245</v>
      </c>
      <c r="U82" s="6">
        <v>41.919999999999995</v>
      </c>
      <c r="V82" s="5">
        <v>243</v>
      </c>
      <c r="W82" s="6">
        <v>41.360000000000007</v>
      </c>
      <c r="X82" s="6">
        <f t="shared" si="6"/>
        <v>236.3</v>
      </c>
      <c r="Y82" s="6">
        <f t="shared" si="6"/>
        <v>40.880000000000003</v>
      </c>
    </row>
    <row r="83" spans="1:25" x14ac:dyDescent="0.25">
      <c r="A83" s="2" t="s">
        <v>76</v>
      </c>
      <c r="B83" s="2" t="s">
        <v>77</v>
      </c>
      <c r="C83" s="2" t="s">
        <v>78</v>
      </c>
      <c r="D83" s="5">
        <v>201</v>
      </c>
      <c r="E83" s="6">
        <v>200.52</v>
      </c>
      <c r="F83" s="5">
        <v>208</v>
      </c>
      <c r="G83" s="6">
        <v>207</v>
      </c>
      <c r="H83" s="5">
        <v>209</v>
      </c>
      <c r="I83" s="6">
        <v>207.49</v>
      </c>
      <c r="J83" s="5">
        <v>203</v>
      </c>
      <c r="K83" s="6">
        <v>201.67</v>
      </c>
      <c r="L83" s="5">
        <v>200</v>
      </c>
      <c r="M83" s="6">
        <v>198.5</v>
      </c>
      <c r="N83" s="5">
        <v>203</v>
      </c>
      <c r="O83" s="6">
        <v>201.3</v>
      </c>
      <c r="P83" s="5">
        <v>207</v>
      </c>
      <c r="Q83" s="6">
        <v>205.3</v>
      </c>
      <c r="R83" s="5">
        <v>204</v>
      </c>
      <c r="S83" s="6">
        <v>202.64</v>
      </c>
      <c r="T83" s="5">
        <v>202</v>
      </c>
      <c r="U83" s="6">
        <v>201.51</v>
      </c>
      <c r="V83" s="5">
        <v>198</v>
      </c>
      <c r="W83" s="6">
        <v>197.51</v>
      </c>
      <c r="X83" s="6">
        <f t="shared" si="6"/>
        <v>203.5</v>
      </c>
      <c r="Y83" s="6">
        <f t="shared" si="6"/>
        <v>202.34</v>
      </c>
    </row>
    <row r="84" spans="1:25" x14ac:dyDescent="0.25">
      <c r="A84" s="2" t="s">
        <v>76</v>
      </c>
      <c r="B84" s="2" t="s">
        <v>77</v>
      </c>
      <c r="C84" s="2" t="s">
        <v>79</v>
      </c>
      <c r="D84" s="5">
        <v>346</v>
      </c>
      <c r="E84" s="6">
        <v>227.4</v>
      </c>
      <c r="F84" s="5">
        <v>381</v>
      </c>
      <c r="G84" s="6">
        <v>244.8</v>
      </c>
      <c r="H84" s="5">
        <v>384</v>
      </c>
      <c r="I84" s="6">
        <v>243.23999999999998</v>
      </c>
      <c r="J84" s="5">
        <v>387</v>
      </c>
      <c r="K84" s="6">
        <v>244.06</v>
      </c>
      <c r="L84" s="5">
        <v>395</v>
      </c>
      <c r="M84" s="6">
        <v>252.4</v>
      </c>
      <c r="N84" s="5">
        <v>399</v>
      </c>
      <c r="O84" s="6">
        <v>253.02</v>
      </c>
      <c r="P84" s="5">
        <v>400</v>
      </c>
      <c r="Q84" s="6">
        <v>259.58</v>
      </c>
      <c r="R84" s="5">
        <v>406</v>
      </c>
      <c r="S84" s="6">
        <v>265.57999999999993</v>
      </c>
      <c r="T84" s="5">
        <v>415</v>
      </c>
      <c r="U84" s="6">
        <v>273.39999999999998</v>
      </c>
      <c r="V84" s="5">
        <v>409</v>
      </c>
      <c r="W84" s="6">
        <v>270.41999999999996</v>
      </c>
      <c r="X84" s="6">
        <f t="shared" si="6"/>
        <v>392.2</v>
      </c>
      <c r="Y84" s="6">
        <f t="shared" si="6"/>
        <v>253.39</v>
      </c>
    </row>
    <row r="85" spans="1:25" x14ac:dyDescent="0.25">
      <c r="A85" s="2" t="s">
        <v>196</v>
      </c>
      <c r="B85" s="2" t="s">
        <v>197</v>
      </c>
      <c r="C85" s="2" t="s">
        <v>198</v>
      </c>
      <c r="D85" s="5">
        <v>359</v>
      </c>
      <c r="E85" s="6">
        <v>326.39999999999986</v>
      </c>
      <c r="F85" s="5">
        <v>387</v>
      </c>
      <c r="G85" s="6">
        <v>347.59999999999997</v>
      </c>
      <c r="H85" s="5">
        <v>407</v>
      </c>
      <c r="I85" s="6">
        <v>364.2</v>
      </c>
      <c r="J85" s="5">
        <v>394</v>
      </c>
      <c r="K85" s="6">
        <v>356.4</v>
      </c>
      <c r="L85" s="5">
        <v>377</v>
      </c>
      <c r="M85" s="6">
        <v>338.59999999999997</v>
      </c>
      <c r="N85" s="5">
        <v>372</v>
      </c>
      <c r="O85" s="6">
        <v>332.7999999999999</v>
      </c>
      <c r="P85" s="5">
        <v>387</v>
      </c>
      <c r="Q85" s="6">
        <v>341.39999999999992</v>
      </c>
      <c r="R85" s="5">
        <v>385</v>
      </c>
      <c r="S85" s="6">
        <v>335.39999999999992</v>
      </c>
      <c r="T85" s="5">
        <v>358</v>
      </c>
      <c r="U85" s="6">
        <v>322.59999999999997</v>
      </c>
      <c r="V85" s="5">
        <v>409</v>
      </c>
      <c r="W85" s="6">
        <v>343.8</v>
      </c>
      <c r="X85" s="6">
        <f t="shared" si="6"/>
        <v>383.5</v>
      </c>
      <c r="Y85" s="6">
        <f t="shared" si="6"/>
        <v>340.92</v>
      </c>
    </row>
    <row r="86" spans="1:25" x14ac:dyDescent="0.25">
      <c r="A86" s="2" t="s">
        <v>592</v>
      </c>
      <c r="B86" s="2" t="s">
        <v>593</v>
      </c>
      <c r="C86" s="2" t="s">
        <v>594</v>
      </c>
      <c r="D86" s="5">
        <v>58</v>
      </c>
      <c r="E86" s="6">
        <v>54</v>
      </c>
      <c r="F86" s="5">
        <v>64</v>
      </c>
      <c r="G86" s="6">
        <v>59.59</v>
      </c>
      <c r="H86" s="5">
        <v>67</v>
      </c>
      <c r="I86" s="6">
        <v>62.57</v>
      </c>
      <c r="J86" s="5">
        <v>77</v>
      </c>
      <c r="K86" s="6">
        <v>70.430000000000007</v>
      </c>
      <c r="L86" s="5">
        <v>80</v>
      </c>
      <c r="M86" s="6">
        <v>72.92</v>
      </c>
      <c r="N86" s="5">
        <v>83</v>
      </c>
      <c r="O86" s="6">
        <v>76</v>
      </c>
      <c r="P86" s="5">
        <v>79</v>
      </c>
      <c r="Q86" s="6">
        <v>71.87</v>
      </c>
      <c r="R86" s="5">
        <v>85</v>
      </c>
      <c r="S86" s="6">
        <v>79.63</v>
      </c>
      <c r="T86" s="5">
        <v>87</v>
      </c>
      <c r="U86" s="6">
        <v>81.789999999999992</v>
      </c>
      <c r="V86" s="5">
        <v>86</v>
      </c>
      <c r="W86" s="6">
        <v>80.789999999999992</v>
      </c>
      <c r="X86" s="6">
        <f t="shared" si="6"/>
        <v>76.599999999999994</v>
      </c>
      <c r="Y86" s="6">
        <f t="shared" si="6"/>
        <v>70.959999999999994</v>
      </c>
    </row>
    <row r="87" spans="1:25" x14ac:dyDescent="0.25">
      <c r="A87" s="2" t="s">
        <v>592</v>
      </c>
      <c r="B87" s="2" t="s">
        <v>593</v>
      </c>
      <c r="C87" s="2" t="s">
        <v>595</v>
      </c>
      <c r="D87" s="5">
        <v>84</v>
      </c>
      <c r="E87" s="6">
        <v>64.289999999999992</v>
      </c>
      <c r="F87" s="5">
        <v>126</v>
      </c>
      <c r="G87" s="6">
        <v>99.35</v>
      </c>
      <c r="H87" s="5">
        <v>126</v>
      </c>
      <c r="I87" s="6">
        <v>96.75</v>
      </c>
      <c r="J87" s="5">
        <v>130</v>
      </c>
      <c r="K87" s="6">
        <v>98.83</v>
      </c>
      <c r="L87" s="5">
        <v>130</v>
      </c>
      <c r="M87" s="6">
        <v>100.51</v>
      </c>
      <c r="N87" s="5">
        <v>138</v>
      </c>
      <c r="O87" s="6">
        <v>105.14</v>
      </c>
      <c r="P87" s="5">
        <v>133</v>
      </c>
      <c r="Q87" s="6">
        <v>101.76</v>
      </c>
      <c r="R87" s="5">
        <v>125</v>
      </c>
      <c r="S87" s="6">
        <v>94.66</v>
      </c>
      <c r="T87" s="5">
        <v>124</v>
      </c>
      <c r="U87" s="6">
        <v>95.089999999999989</v>
      </c>
      <c r="V87" s="5">
        <v>112</v>
      </c>
      <c r="W87" s="6">
        <v>84.21</v>
      </c>
      <c r="X87" s="6">
        <f t="shared" si="6"/>
        <v>122.8</v>
      </c>
      <c r="Y87" s="6">
        <f t="shared" si="6"/>
        <v>94.06</v>
      </c>
    </row>
    <row r="88" spans="1:25" x14ac:dyDescent="0.25">
      <c r="A88" s="2" t="s">
        <v>395</v>
      </c>
      <c r="B88" s="2" t="s">
        <v>396</v>
      </c>
      <c r="C88" s="2" t="s">
        <v>397</v>
      </c>
      <c r="D88" s="5">
        <v>5</v>
      </c>
      <c r="E88" s="6">
        <v>5</v>
      </c>
      <c r="F88" s="5">
        <v>5</v>
      </c>
      <c r="G88" s="6">
        <v>5</v>
      </c>
      <c r="H88" s="5">
        <v>5</v>
      </c>
      <c r="I88" s="6">
        <v>5</v>
      </c>
      <c r="J88" s="5">
        <v>3</v>
      </c>
      <c r="K88" s="6">
        <v>3</v>
      </c>
      <c r="L88" s="5">
        <v>3</v>
      </c>
      <c r="M88" s="6">
        <v>3</v>
      </c>
      <c r="N88" s="5">
        <v>3</v>
      </c>
      <c r="O88" s="6">
        <v>3</v>
      </c>
      <c r="P88" s="5">
        <v>4</v>
      </c>
      <c r="Q88" s="6">
        <v>4</v>
      </c>
      <c r="R88" s="5">
        <v>5</v>
      </c>
      <c r="S88" s="6">
        <v>5</v>
      </c>
      <c r="T88" s="5">
        <v>5</v>
      </c>
      <c r="U88" s="6">
        <v>5</v>
      </c>
      <c r="V88" s="5">
        <v>5</v>
      </c>
      <c r="W88" s="6">
        <v>5</v>
      </c>
      <c r="X88" s="6">
        <f t="shared" si="6"/>
        <v>4.3</v>
      </c>
      <c r="Y88" s="6">
        <f t="shared" si="6"/>
        <v>4.3</v>
      </c>
    </row>
    <row r="89" spans="1:25" x14ac:dyDescent="0.25">
      <c r="A89" s="2" t="s">
        <v>23</v>
      </c>
      <c r="B89" s="2" t="s">
        <v>24</v>
      </c>
      <c r="C89" s="2" t="s">
        <v>25</v>
      </c>
      <c r="D89" s="5">
        <v>6</v>
      </c>
      <c r="E89" s="6">
        <v>5.2</v>
      </c>
      <c r="F89" s="5">
        <v>7</v>
      </c>
      <c r="G89" s="6">
        <v>5.4</v>
      </c>
      <c r="H89" s="5">
        <v>9</v>
      </c>
      <c r="I89" s="6">
        <v>5.4</v>
      </c>
      <c r="J89" s="5">
        <v>10</v>
      </c>
      <c r="K89" s="6">
        <v>6.4</v>
      </c>
      <c r="L89" s="5">
        <v>12</v>
      </c>
      <c r="M89" s="6">
        <v>6.4</v>
      </c>
      <c r="N89" s="5">
        <v>13</v>
      </c>
      <c r="O89" s="6">
        <v>5.6</v>
      </c>
      <c r="P89" s="5">
        <v>13</v>
      </c>
      <c r="Q89" s="6">
        <v>3.63</v>
      </c>
      <c r="R89" s="5">
        <v>10</v>
      </c>
      <c r="S89" s="6">
        <v>4.3</v>
      </c>
      <c r="T89" s="5">
        <v>10</v>
      </c>
      <c r="U89" s="6">
        <v>2.5</v>
      </c>
      <c r="V89" s="5">
        <v>9</v>
      </c>
      <c r="W89" s="6">
        <v>2</v>
      </c>
      <c r="X89" s="6">
        <f t="shared" si="6"/>
        <v>9.9</v>
      </c>
      <c r="Y89" s="6">
        <f t="shared" si="6"/>
        <v>4.68</v>
      </c>
    </row>
    <row r="90" spans="1:25" x14ac:dyDescent="0.25">
      <c r="A90" s="2" t="s">
        <v>507</v>
      </c>
      <c r="B90" s="2" t="s">
        <v>508</v>
      </c>
      <c r="C90" s="2" t="s">
        <v>509</v>
      </c>
      <c r="D90" s="5">
        <v>2</v>
      </c>
      <c r="E90" s="6">
        <v>2</v>
      </c>
      <c r="F90" s="5">
        <v>2</v>
      </c>
      <c r="G90" s="6">
        <v>2</v>
      </c>
      <c r="H90" s="5">
        <v>2</v>
      </c>
      <c r="I90" s="6">
        <v>2</v>
      </c>
      <c r="J90" s="5">
        <v>3</v>
      </c>
      <c r="K90" s="6">
        <v>3</v>
      </c>
      <c r="L90" s="5">
        <v>4</v>
      </c>
      <c r="M90" s="6">
        <v>4</v>
      </c>
      <c r="N90" s="5">
        <v>4</v>
      </c>
      <c r="O90" s="6">
        <v>4</v>
      </c>
      <c r="P90" s="5">
        <v>5</v>
      </c>
      <c r="Q90" s="6">
        <v>5</v>
      </c>
      <c r="R90" s="5">
        <v>6</v>
      </c>
      <c r="S90" s="6">
        <v>6</v>
      </c>
      <c r="T90" s="5">
        <v>6</v>
      </c>
      <c r="U90" s="6">
        <v>6</v>
      </c>
      <c r="V90" s="5">
        <v>6</v>
      </c>
      <c r="W90" s="6">
        <v>6</v>
      </c>
      <c r="X90" s="6">
        <f t="shared" si="6"/>
        <v>4</v>
      </c>
      <c r="Y90" s="6">
        <f t="shared" si="6"/>
        <v>4</v>
      </c>
    </row>
    <row r="91" spans="1:25" x14ac:dyDescent="0.25">
      <c r="A91" s="2" t="s">
        <v>666</v>
      </c>
      <c r="B91" s="2" t="s">
        <v>667</v>
      </c>
      <c r="C91" s="2" t="s">
        <v>281</v>
      </c>
      <c r="D91" s="5">
        <v>1776</v>
      </c>
      <c r="E91" s="6">
        <v>1756.93</v>
      </c>
      <c r="F91" s="5">
        <v>2123</v>
      </c>
      <c r="G91" s="6">
        <v>2090.7800000000002</v>
      </c>
      <c r="H91" s="5">
        <v>2190</v>
      </c>
      <c r="I91" s="6">
        <v>2159.17</v>
      </c>
      <c r="J91" s="5">
        <v>2113</v>
      </c>
      <c r="K91" s="6">
        <v>2082.1699999999992</v>
      </c>
      <c r="L91" s="5">
        <v>2023</v>
      </c>
      <c r="M91" s="6">
        <v>1991.84</v>
      </c>
      <c r="N91" s="5">
        <v>1996</v>
      </c>
      <c r="O91" s="6">
        <v>1963.7000000000003</v>
      </c>
      <c r="P91" s="5">
        <v>2139</v>
      </c>
      <c r="Q91" s="6">
        <v>2110.0300000000007</v>
      </c>
      <c r="R91" s="5">
        <v>2073</v>
      </c>
      <c r="S91" s="6">
        <v>2044.36</v>
      </c>
      <c r="T91" s="5">
        <v>2040</v>
      </c>
      <c r="U91" s="6">
        <v>2011.53</v>
      </c>
      <c r="V91" s="5">
        <v>2014</v>
      </c>
      <c r="W91" s="6">
        <v>1985.5299999999997</v>
      </c>
      <c r="X91" s="6">
        <f t="shared" si="6"/>
        <v>2048.6999999999998</v>
      </c>
      <c r="Y91" s="6">
        <f t="shared" si="6"/>
        <v>2019.6</v>
      </c>
    </row>
    <row r="92" spans="1:25" x14ac:dyDescent="0.25">
      <c r="A92" s="2" t="s">
        <v>147</v>
      </c>
      <c r="B92" s="2" t="s">
        <v>148</v>
      </c>
      <c r="C92" s="2" t="s">
        <v>149</v>
      </c>
      <c r="D92" s="5">
        <v>22</v>
      </c>
      <c r="E92" s="6">
        <v>22</v>
      </c>
      <c r="F92" s="5">
        <v>29</v>
      </c>
      <c r="G92" s="6">
        <v>29</v>
      </c>
      <c r="H92" s="5">
        <v>31</v>
      </c>
      <c r="I92" s="6">
        <v>31</v>
      </c>
      <c r="J92" s="5">
        <v>36</v>
      </c>
      <c r="K92" s="6">
        <v>35.56</v>
      </c>
      <c r="L92" s="5">
        <v>33</v>
      </c>
      <c r="M92" s="6">
        <v>32.56</v>
      </c>
      <c r="N92" s="5">
        <v>38</v>
      </c>
      <c r="O92" s="6">
        <v>38</v>
      </c>
      <c r="P92" s="5">
        <v>37</v>
      </c>
      <c r="Q92" s="6">
        <v>37</v>
      </c>
      <c r="R92" s="5">
        <v>39</v>
      </c>
      <c r="S92" s="6">
        <v>39</v>
      </c>
      <c r="T92" s="5">
        <v>39</v>
      </c>
      <c r="U92" s="6">
        <v>39</v>
      </c>
      <c r="V92" s="5">
        <v>43</v>
      </c>
      <c r="W92" s="6">
        <v>43</v>
      </c>
      <c r="X92" s="6">
        <f t="shared" si="6"/>
        <v>34.700000000000003</v>
      </c>
      <c r="Y92" s="6">
        <f t="shared" si="6"/>
        <v>34.61</v>
      </c>
    </row>
    <row r="93" spans="1:25" x14ac:dyDescent="0.25">
      <c r="A93" s="2" t="s">
        <v>627</v>
      </c>
      <c r="B93" s="2" t="s">
        <v>628</v>
      </c>
      <c r="C93" s="2" t="s">
        <v>629</v>
      </c>
      <c r="D93" s="5">
        <v>30</v>
      </c>
      <c r="E93" s="6">
        <v>30</v>
      </c>
      <c r="F93" s="5">
        <v>34</v>
      </c>
      <c r="G93" s="6">
        <v>34</v>
      </c>
      <c r="H93" s="5">
        <v>34</v>
      </c>
      <c r="I93" s="6">
        <v>34</v>
      </c>
      <c r="J93" s="5">
        <v>35</v>
      </c>
      <c r="K93" s="6">
        <v>35</v>
      </c>
      <c r="L93" s="5">
        <v>36</v>
      </c>
      <c r="M93" s="6">
        <v>36</v>
      </c>
      <c r="N93" s="5">
        <v>39</v>
      </c>
      <c r="O93" s="6">
        <v>39</v>
      </c>
      <c r="P93" s="5">
        <v>41</v>
      </c>
      <c r="Q93" s="6">
        <v>41</v>
      </c>
      <c r="R93" s="5">
        <v>42</v>
      </c>
      <c r="S93" s="6">
        <v>42</v>
      </c>
      <c r="T93" s="5">
        <v>42</v>
      </c>
      <c r="U93" s="6">
        <v>42</v>
      </c>
      <c r="V93" s="5">
        <v>38</v>
      </c>
      <c r="W93" s="6">
        <v>38</v>
      </c>
      <c r="X93" s="6">
        <f t="shared" si="6"/>
        <v>37.1</v>
      </c>
      <c r="Y93" s="6">
        <f t="shared" si="6"/>
        <v>37.1</v>
      </c>
    </row>
    <row r="94" spans="1:25" x14ac:dyDescent="0.25">
      <c r="A94" s="2" t="s">
        <v>627</v>
      </c>
      <c r="B94" s="2" t="s">
        <v>628</v>
      </c>
      <c r="C94" s="2" t="s">
        <v>630</v>
      </c>
      <c r="D94" s="5">
        <v>1</v>
      </c>
      <c r="E94" s="6">
        <v>0.84</v>
      </c>
      <c r="F94" s="5">
        <v>2</v>
      </c>
      <c r="G94" s="6">
        <v>1.26</v>
      </c>
      <c r="H94" s="5">
        <v>2</v>
      </c>
      <c r="I94" s="6">
        <v>1.26</v>
      </c>
      <c r="J94" s="5">
        <v>3</v>
      </c>
      <c r="K94" s="6">
        <v>1.51</v>
      </c>
      <c r="L94" s="5">
        <v>6</v>
      </c>
      <c r="M94" s="6">
        <v>2.98</v>
      </c>
      <c r="N94" s="5">
        <v>7</v>
      </c>
      <c r="O94" s="6">
        <v>3.78</v>
      </c>
      <c r="P94" s="5">
        <v>4</v>
      </c>
      <c r="Q94" s="6">
        <v>2.73</v>
      </c>
      <c r="R94" s="5">
        <v>7</v>
      </c>
      <c r="S94" s="6">
        <v>3.31</v>
      </c>
      <c r="T94" s="5">
        <v>8</v>
      </c>
      <c r="U94" s="6">
        <v>3.57</v>
      </c>
      <c r="V94" s="5">
        <v>7</v>
      </c>
      <c r="W94" s="6">
        <v>2.52</v>
      </c>
      <c r="X94" s="6">
        <f t="shared" si="6"/>
        <v>4.7</v>
      </c>
      <c r="Y94" s="6">
        <f t="shared" si="6"/>
        <v>2.38</v>
      </c>
    </row>
    <row r="95" spans="1:25" x14ac:dyDescent="0.25">
      <c r="A95" s="2" t="s">
        <v>636</v>
      </c>
      <c r="B95" s="2" t="s">
        <v>637</v>
      </c>
      <c r="C95" s="2" t="s">
        <v>638</v>
      </c>
      <c r="D95" s="5">
        <v>23</v>
      </c>
      <c r="E95" s="6">
        <v>23</v>
      </c>
      <c r="F95" s="5">
        <v>19</v>
      </c>
      <c r="G95" s="6">
        <v>19</v>
      </c>
      <c r="H95" s="5">
        <v>24</v>
      </c>
      <c r="I95" s="6">
        <v>24</v>
      </c>
      <c r="J95" s="5">
        <v>25</v>
      </c>
      <c r="K95" s="6">
        <v>25</v>
      </c>
      <c r="L95" s="5">
        <v>27</v>
      </c>
      <c r="M95" s="6">
        <v>27</v>
      </c>
      <c r="N95" s="5">
        <v>29</v>
      </c>
      <c r="O95" s="6">
        <v>29</v>
      </c>
      <c r="P95" s="5">
        <v>28</v>
      </c>
      <c r="Q95" s="6">
        <v>28</v>
      </c>
      <c r="R95" s="5">
        <v>28</v>
      </c>
      <c r="S95" s="6">
        <v>28</v>
      </c>
      <c r="T95" s="5">
        <v>27</v>
      </c>
      <c r="U95" s="6">
        <v>27</v>
      </c>
      <c r="V95" s="5">
        <v>25</v>
      </c>
      <c r="W95" s="6">
        <v>25</v>
      </c>
      <c r="X95" s="6">
        <f t="shared" si="6"/>
        <v>25.5</v>
      </c>
      <c r="Y95" s="6">
        <f t="shared" si="6"/>
        <v>25.5</v>
      </c>
    </row>
    <row r="96" spans="1:25" x14ac:dyDescent="0.25">
      <c r="A96" s="2" t="s">
        <v>462</v>
      </c>
      <c r="B96" s="2" t="s">
        <v>463</v>
      </c>
      <c r="C96" s="2" t="s">
        <v>464</v>
      </c>
      <c r="D96" s="5">
        <v>183</v>
      </c>
      <c r="E96" s="6">
        <v>180.32999999999998</v>
      </c>
      <c r="F96" s="5">
        <v>189</v>
      </c>
      <c r="G96" s="6">
        <v>187.43</v>
      </c>
      <c r="H96" s="5">
        <v>192</v>
      </c>
      <c r="I96" s="6">
        <v>190.60000000000002</v>
      </c>
      <c r="J96" s="5">
        <v>193</v>
      </c>
      <c r="K96" s="6">
        <v>191.60000000000002</v>
      </c>
      <c r="L96" s="5">
        <v>194</v>
      </c>
      <c r="M96" s="6">
        <v>190.60000000000002</v>
      </c>
      <c r="N96" s="5">
        <v>197</v>
      </c>
      <c r="O96" s="6">
        <v>194.75</v>
      </c>
      <c r="P96" s="5">
        <v>190</v>
      </c>
      <c r="Q96" s="6">
        <v>186.81</v>
      </c>
      <c r="R96" s="5">
        <v>183</v>
      </c>
      <c r="S96" s="6">
        <v>180.07</v>
      </c>
      <c r="T96" s="5">
        <v>186</v>
      </c>
      <c r="U96" s="6">
        <v>184.26999999999998</v>
      </c>
      <c r="V96" s="5">
        <v>183</v>
      </c>
      <c r="W96" s="6">
        <v>181.26999999999998</v>
      </c>
      <c r="X96" s="6">
        <f t="shared" si="6"/>
        <v>189</v>
      </c>
      <c r="Y96" s="6">
        <f t="shared" si="6"/>
        <v>186.77</v>
      </c>
    </row>
    <row r="97" spans="1:25" x14ac:dyDescent="0.25">
      <c r="A97" s="2" t="s">
        <v>668</v>
      </c>
      <c r="B97" s="2" t="s">
        <v>669</v>
      </c>
      <c r="C97" s="2" t="s">
        <v>200</v>
      </c>
      <c r="D97" s="5">
        <v>22</v>
      </c>
      <c r="E97" s="6">
        <v>22</v>
      </c>
      <c r="F97" s="5">
        <v>21</v>
      </c>
      <c r="G97" s="6">
        <v>21</v>
      </c>
      <c r="H97" s="5">
        <v>22</v>
      </c>
      <c r="I97" s="6">
        <v>22</v>
      </c>
      <c r="J97" s="5">
        <v>24</v>
      </c>
      <c r="K97" s="6">
        <v>24</v>
      </c>
      <c r="L97" s="5">
        <v>25</v>
      </c>
      <c r="M97" s="6">
        <v>25</v>
      </c>
      <c r="N97" s="5">
        <v>29</v>
      </c>
      <c r="O97" s="6">
        <v>29</v>
      </c>
      <c r="P97" s="5">
        <v>26</v>
      </c>
      <c r="Q97" s="6">
        <v>26</v>
      </c>
      <c r="R97" s="5">
        <v>28</v>
      </c>
      <c r="S97" s="6">
        <v>28</v>
      </c>
      <c r="T97" s="5">
        <v>32</v>
      </c>
      <c r="U97" s="6">
        <v>32</v>
      </c>
      <c r="V97" s="5">
        <v>47</v>
      </c>
      <c r="W97" s="6">
        <v>47</v>
      </c>
      <c r="X97" s="6">
        <f t="shared" si="6"/>
        <v>27.6</v>
      </c>
      <c r="Y97" s="6">
        <f t="shared" si="6"/>
        <v>27.6</v>
      </c>
    </row>
    <row r="98" spans="1:25" x14ac:dyDescent="0.25">
      <c r="A98" s="2" t="s">
        <v>668</v>
      </c>
      <c r="B98" s="2" t="s">
        <v>669</v>
      </c>
      <c r="C98" s="2" t="s">
        <v>201</v>
      </c>
      <c r="D98" s="5">
        <v>185</v>
      </c>
      <c r="E98" s="6">
        <v>180.45</v>
      </c>
      <c r="F98" s="5">
        <v>202</v>
      </c>
      <c r="G98" s="6">
        <v>194.57</v>
      </c>
      <c r="H98" s="5">
        <v>207</v>
      </c>
      <c r="I98" s="6">
        <v>197.74</v>
      </c>
      <c r="J98" s="5">
        <v>218</v>
      </c>
      <c r="K98" s="6">
        <v>208.16</v>
      </c>
      <c r="L98" s="5">
        <v>218</v>
      </c>
      <c r="M98" s="6">
        <v>207.69</v>
      </c>
      <c r="N98" s="5">
        <v>233</v>
      </c>
      <c r="O98" s="6">
        <v>220.92</v>
      </c>
      <c r="P98" s="5">
        <v>234</v>
      </c>
      <c r="Q98" s="6">
        <v>222.51999999999998</v>
      </c>
      <c r="R98" s="5">
        <v>227</v>
      </c>
      <c r="S98" s="6">
        <v>214.70999999999998</v>
      </c>
      <c r="T98" s="5">
        <v>238</v>
      </c>
      <c r="U98" s="6">
        <v>225.52</v>
      </c>
      <c r="V98" s="5">
        <v>237</v>
      </c>
      <c r="W98" s="6">
        <v>224.51999999999998</v>
      </c>
      <c r="X98" s="6">
        <f t="shared" si="6"/>
        <v>219.9</v>
      </c>
      <c r="Y98" s="6">
        <f t="shared" si="6"/>
        <v>209.68</v>
      </c>
    </row>
    <row r="99" spans="1:25" x14ac:dyDescent="0.25">
      <c r="A99" s="2" t="s">
        <v>668</v>
      </c>
      <c r="B99" s="2" t="s">
        <v>669</v>
      </c>
      <c r="C99" s="2" t="s">
        <v>202</v>
      </c>
      <c r="D99" s="5">
        <v>45</v>
      </c>
      <c r="E99" s="6">
        <v>45</v>
      </c>
      <c r="F99" s="5">
        <v>42</v>
      </c>
      <c r="G99" s="6">
        <v>42</v>
      </c>
      <c r="H99" s="5">
        <v>45</v>
      </c>
      <c r="I99" s="6">
        <v>45</v>
      </c>
      <c r="J99" s="5">
        <v>48</v>
      </c>
      <c r="K99" s="6">
        <v>48</v>
      </c>
      <c r="L99" s="5">
        <v>46</v>
      </c>
      <c r="M99" s="6">
        <v>46</v>
      </c>
      <c r="N99" s="5">
        <v>47</v>
      </c>
      <c r="O99" s="6">
        <v>47</v>
      </c>
      <c r="P99" s="5">
        <v>48</v>
      </c>
      <c r="Q99" s="6">
        <v>48</v>
      </c>
      <c r="R99" s="5">
        <v>51</v>
      </c>
      <c r="S99" s="6">
        <v>51</v>
      </c>
      <c r="T99" s="5">
        <v>52</v>
      </c>
      <c r="U99" s="6">
        <v>52</v>
      </c>
      <c r="V99" s="5">
        <v>54</v>
      </c>
      <c r="W99" s="6">
        <v>54</v>
      </c>
      <c r="X99" s="6">
        <f t="shared" si="6"/>
        <v>47.8</v>
      </c>
      <c r="Y99" s="6">
        <f t="shared" si="6"/>
        <v>47.8</v>
      </c>
    </row>
    <row r="100" spans="1:25" x14ac:dyDescent="0.25">
      <c r="A100" s="2" t="s">
        <v>668</v>
      </c>
      <c r="B100" s="2" t="s">
        <v>669</v>
      </c>
      <c r="C100" s="2" t="s">
        <v>203</v>
      </c>
      <c r="D100" s="5">
        <v>143</v>
      </c>
      <c r="E100" s="6">
        <v>143</v>
      </c>
      <c r="F100" s="5">
        <v>140</v>
      </c>
      <c r="G100" s="6">
        <v>140</v>
      </c>
      <c r="H100" s="5">
        <v>150</v>
      </c>
      <c r="I100" s="6">
        <v>150</v>
      </c>
      <c r="J100" s="5">
        <v>144</v>
      </c>
      <c r="K100" s="6">
        <v>144</v>
      </c>
      <c r="L100" s="5">
        <v>155</v>
      </c>
      <c r="M100" s="6">
        <v>155</v>
      </c>
      <c r="N100" s="5">
        <v>165</v>
      </c>
      <c r="O100" s="6">
        <v>165</v>
      </c>
      <c r="P100" s="5">
        <v>163</v>
      </c>
      <c r="Q100" s="6">
        <v>163</v>
      </c>
      <c r="R100" s="5">
        <v>177</v>
      </c>
      <c r="S100" s="6">
        <v>177</v>
      </c>
      <c r="T100" s="5">
        <v>176</v>
      </c>
      <c r="U100" s="6">
        <v>176</v>
      </c>
      <c r="V100" s="5">
        <v>181</v>
      </c>
      <c r="W100" s="6">
        <v>181</v>
      </c>
      <c r="X100" s="6">
        <f t="shared" si="6"/>
        <v>159.4</v>
      </c>
      <c r="Y100" s="6">
        <f t="shared" si="6"/>
        <v>159.4</v>
      </c>
    </row>
    <row r="101" spans="1:25" x14ac:dyDescent="0.25">
      <c r="A101" s="2" t="s">
        <v>64</v>
      </c>
      <c r="B101" s="2" t="s">
        <v>65</v>
      </c>
      <c r="C101" s="2" t="s">
        <v>66</v>
      </c>
      <c r="D101" s="5">
        <v>26</v>
      </c>
      <c r="E101" s="6">
        <v>20.79</v>
      </c>
      <c r="F101" s="5">
        <v>31</v>
      </c>
      <c r="G101" s="6">
        <v>24.29</v>
      </c>
      <c r="H101" s="5">
        <v>29</v>
      </c>
      <c r="I101" s="6">
        <v>22.78</v>
      </c>
      <c r="J101" s="5">
        <v>27</v>
      </c>
      <c r="K101" s="6">
        <v>22.1</v>
      </c>
      <c r="L101" s="5">
        <v>28</v>
      </c>
      <c r="M101" s="6">
        <v>21.81</v>
      </c>
      <c r="N101" s="5">
        <v>31</v>
      </c>
      <c r="O101" s="6">
        <v>20.69</v>
      </c>
      <c r="P101" s="5">
        <v>31</v>
      </c>
      <c r="Q101" s="6">
        <v>21.18</v>
      </c>
      <c r="R101" s="5">
        <v>33</v>
      </c>
      <c r="S101" s="6">
        <v>23.18</v>
      </c>
      <c r="T101" s="5">
        <v>31</v>
      </c>
      <c r="U101" s="6">
        <v>21.86</v>
      </c>
      <c r="V101" s="5">
        <v>30</v>
      </c>
      <c r="W101" s="6">
        <v>20.57</v>
      </c>
      <c r="X101" s="6">
        <f t="shared" si="6"/>
        <v>29.7</v>
      </c>
      <c r="Y101" s="6">
        <f t="shared" si="6"/>
        <v>21.93</v>
      </c>
    </row>
    <row r="102" spans="1:25" x14ac:dyDescent="0.25">
      <c r="A102" s="2" t="s">
        <v>64</v>
      </c>
      <c r="B102" s="2" t="s">
        <v>65</v>
      </c>
      <c r="C102" s="2" t="s">
        <v>67</v>
      </c>
      <c r="D102" s="5">
        <v>2</v>
      </c>
      <c r="E102" s="6">
        <v>2</v>
      </c>
      <c r="F102" s="5">
        <v>2</v>
      </c>
      <c r="G102" s="6">
        <v>2</v>
      </c>
      <c r="H102" s="5">
        <v>2</v>
      </c>
      <c r="I102" s="6">
        <v>2</v>
      </c>
      <c r="J102" s="5">
        <v>2</v>
      </c>
      <c r="K102" s="6">
        <v>2</v>
      </c>
      <c r="L102" s="5">
        <v>1</v>
      </c>
      <c r="M102" s="6">
        <v>1</v>
      </c>
      <c r="N102" s="5">
        <v>4</v>
      </c>
      <c r="O102" s="6">
        <v>4</v>
      </c>
      <c r="P102" s="5">
        <v>4</v>
      </c>
      <c r="Q102" s="6">
        <v>4</v>
      </c>
      <c r="R102" s="5">
        <v>4</v>
      </c>
      <c r="S102" s="6">
        <v>4</v>
      </c>
      <c r="T102" s="5">
        <v>4</v>
      </c>
      <c r="U102" s="6">
        <v>4</v>
      </c>
      <c r="V102" s="5">
        <v>4</v>
      </c>
      <c r="W102" s="6">
        <v>4</v>
      </c>
      <c r="X102" s="6">
        <f t="shared" si="6"/>
        <v>2.9</v>
      </c>
      <c r="Y102" s="6">
        <f t="shared" si="6"/>
        <v>2.9</v>
      </c>
    </row>
    <row r="103" spans="1:25" x14ac:dyDescent="0.25">
      <c r="A103" s="2" t="s">
        <v>153</v>
      </c>
      <c r="B103" s="2" t="s">
        <v>154</v>
      </c>
      <c r="C103" s="2" t="s">
        <v>155</v>
      </c>
      <c r="D103" s="5">
        <v>87</v>
      </c>
      <c r="E103" s="6">
        <v>81.599999999999994</v>
      </c>
      <c r="F103" s="5">
        <v>106</v>
      </c>
      <c r="G103" s="6">
        <v>97.789999999999992</v>
      </c>
      <c r="H103" s="5">
        <v>107</v>
      </c>
      <c r="I103" s="6">
        <v>98.99</v>
      </c>
      <c r="J103" s="5">
        <v>106</v>
      </c>
      <c r="K103" s="6">
        <v>98.55</v>
      </c>
      <c r="L103" s="5">
        <v>107</v>
      </c>
      <c r="M103" s="6">
        <v>99.55</v>
      </c>
      <c r="N103" s="5">
        <v>105</v>
      </c>
      <c r="O103" s="6">
        <v>95.990000000000009</v>
      </c>
      <c r="P103" s="5">
        <v>107</v>
      </c>
      <c r="Q103" s="6">
        <v>98.95</v>
      </c>
      <c r="R103" s="5">
        <v>107</v>
      </c>
      <c r="S103" s="6">
        <v>99.15</v>
      </c>
      <c r="T103" s="5">
        <v>107</v>
      </c>
      <c r="U103" s="6">
        <v>99.15</v>
      </c>
      <c r="V103" s="5">
        <v>106</v>
      </c>
      <c r="W103" s="6">
        <v>98.15</v>
      </c>
      <c r="X103" s="6">
        <f t="shared" si="6"/>
        <v>104.5</v>
      </c>
      <c r="Y103" s="6">
        <f t="shared" si="6"/>
        <v>96.79</v>
      </c>
    </row>
    <row r="104" spans="1:25" x14ac:dyDescent="0.25">
      <c r="A104" s="2" t="s">
        <v>535</v>
      </c>
      <c r="B104" s="2" t="s">
        <v>536</v>
      </c>
      <c r="C104" s="2" t="s">
        <v>537</v>
      </c>
      <c r="D104" s="5">
        <v>0</v>
      </c>
      <c r="E104" s="6">
        <v>0</v>
      </c>
      <c r="F104" s="5">
        <v>1</v>
      </c>
      <c r="G104" s="6">
        <v>0.28000000000000003</v>
      </c>
      <c r="H104" s="5">
        <v>0</v>
      </c>
      <c r="I104" s="6">
        <v>0</v>
      </c>
      <c r="J104" s="5">
        <v>0</v>
      </c>
      <c r="K104" s="6">
        <v>0</v>
      </c>
      <c r="L104" s="5">
        <v>0</v>
      </c>
      <c r="M104" s="6">
        <v>0</v>
      </c>
      <c r="N104" s="5">
        <v>1</v>
      </c>
      <c r="O104" s="6">
        <v>0.14000000000000001</v>
      </c>
      <c r="P104" s="5">
        <v>0</v>
      </c>
      <c r="Q104" s="6">
        <v>0</v>
      </c>
      <c r="R104" s="5">
        <v>0</v>
      </c>
      <c r="S104" s="6">
        <v>0</v>
      </c>
      <c r="T104" s="5">
        <v>0</v>
      </c>
      <c r="U104" s="6">
        <v>0</v>
      </c>
      <c r="V104" s="5">
        <v>0</v>
      </c>
      <c r="W104" s="6">
        <v>0</v>
      </c>
      <c r="X104" s="6">
        <f t="shared" si="6"/>
        <v>0.2</v>
      </c>
      <c r="Y104" s="6">
        <f t="shared" si="6"/>
        <v>0.04</v>
      </c>
    </row>
    <row r="105" spans="1:25" x14ac:dyDescent="0.25">
      <c r="A105" s="2" t="s">
        <v>227</v>
      </c>
      <c r="B105" s="2" t="s">
        <v>228</v>
      </c>
      <c r="C105" s="2" t="s">
        <v>229</v>
      </c>
      <c r="D105" s="5">
        <v>1</v>
      </c>
      <c r="E105" s="6">
        <v>0.36</v>
      </c>
      <c r="F105" s="5">
        <v>1</v>
      </c>
      <c r="G105" s="6">
        <v>0.36</v>
      </c>
      <c r="H105" s="5">
        <v>1</v>
      </c>
      <c r="I105" s="6">
        <v>0.36</v>
      </c>
      <c r="J105" s="5">
        <v>1</v>
      </c>
      <c r="K105" s="6">
        <v>0.36</v>
      </c>
      <c r="L105" s="5">
        <v>1</v>
      </c>
      <c r="M105" s="6">
        <v>0.36</v>
      </c>
      <c r="N105" s="5">
        <v>1</v>
      </c>
      <c r="O105" s="6">
        <v>0.36</v>
      </c>
      <c r="P105" s="5">
        <v>1</v>
      </c>
      <c r="Q105" s="6">
        <v>0.36</v>
      </c>
      <c r="R105" s="5">
        <v>1</v>
      </c>
      <c r="S105" s="6">
        <v>0.36</v>
      </c>
      <c r="T105" s="5">
        <v>1</v>
      </c>
      <c r="U105" s="6">
        <v>0.36</v>
      </c>
      <c r="V105" s="5">
        <v>1</v>
      </c>
      <c r="W105" s="6">
        <v>0.36</v>
      </c>
      <c r="X105" s="6">
        <f t="shared" si="6"/>
        <v>1</v>
      </c>
      <c r="Y105" s="6">
        <f t="shared" si="6"/>
        <v>0.36</v>
      </c>
    </row>
    <row r="106" spans="1:25" x14ac:dyDescent="0.25">
      <c r="A106" s="2" t="s">
        <v>227</v>
      </c>
      <c r="B106" s="2" t="s">
        <v>228</v>
      </c>
      <c r="C106" s="2" t="s">
        <v>230</v>
      </c>
      <c r="D106" s="5">
        <v>1</v>
      </c>
      <c r="E106" s="6">
        <v>0.18</v>
      </c>
      <c r="F106" s="5">
        <v>3</v>
      </c>
      <c r="G106" s="6">
        <v>0.54</v>
      </c>
      <c r="H106" s="5">
        <v>3</v>
      </c>
      <c r="I106" s="6">
        <v>0.54</v>
      </c>
      <c r="J106" s="5">
        <v>3</v>
      </c>
      <c r="K106" s="6">
        <v>0.54</v>
      </c>
      <c r="L106" s="5">
        <v>3</v>
      </c>
      <c r="M106" s="6">
        <v>0.54</v>
      </c>
      <c r="N106" s="5">
        <v>5</v>
      </c>
      <c r="O106" s="6">
        <v>1.08</v>
      </c>
      <c r="P106" s="5">
        <v>6</v>
      </c>
      <c r="Q106" s="6">
        <v>1.26</v>
      </c>
      <c r="R106" s="5">
        <v>6</v>
      </c>
      <c r="S106" s="6">
        <v>1.26</v>
      </c>
      <c r="T106" s="5">
        <v>6</v>
      </c>
      <c r="U106" s="6">
        <v>1.26</v>
      </c>
      <c r="V106" s="5">
        <v>6</v>
      </c>
      <c r="W106" s="6">
        <v>1.26</v>
      </c>
      <c r="X106" s="6">
        <f t="shared" si="6"/>
        <v>4.2</v>
      </c>
      <c r="Y106" s="6">
        <f t="shared" si="6"/>
        <v>0.85</v>
      </c>
    </row>
    <row r="107" spans="1:25" x14ac:dyDescent="0.25">
      <c r="A107" s="2" t="s">
        <v>227</v>
      </c>
      <c r="B107" s="2" t="s">
        <v>228</v>
      </c>
      <c r="C107" s="2" t="s">
        <v>231</v>
      </c>
      <c r="D107" s="5">
        <v>66</v>
      </c>
      <c r="E107" s="6">
        <v>12.32</v>
      </c>
      <c r="F107" s="5">
        <v>102</v>
      </c>
      <c r="G107" s="6">
        <v>19.62</v>
      </c>
      <c r="H107" s="5">
        <v>100</v>
      </c>
      <c r="I107" s="6">
        <v>19.96</v>
      </c>
      <c r="J107" s="5">
        <v>98</v>
      </c>
      <c r="K107" s="6">
        <v>18.88</v>
      </c>
      <c r="L107" s="5">
        <v>97</v>
      </c>
      <c r="M107" s="6">
        <v>19.96</v>
      </c>
      <c r="N107" s="5">
        <v>78</v>
      </c>
      <c r="O107" s="6">
        <v>17.12</v>
      </c>
      <c r="P107" s="5">
        <v>110</v>
      </c>
      <c r="Q107" s="6">
        <v>23.42</v>
      </c>
      <c r="R107" s="5">
        <v>112</v>
      </c>
      <c r="S107" s="6">
        <v>23.96</v>
      </c>
      <c r="T107" s="5">
        <v>103</v>
      </c>
      <c r="U107" s="6">
        <v>21.62</v>
      </c>
      <c r="V107" s="5">
        <v>102</v>
      </c>
      <c r="W107" s="6">
        <v>21.26</v>
      </c>
      <c r="X107" s="6">
        <f t="shared" si="6"/>
        <v>96.8</v>
      </c>
      <c r="Y107" s="6">
        <f t="shared" si="6"/>
        <v>19.809999999999999</v>
      </c>
    </row>
    <row r="108" spans="1:25" x14ac:dyDescent="0.25">
      <c r="A108" s="2" t="s">
        <v>227</v>
      </c>
      <c r="B108" s="2" t="s">
        <v>228</v>
      </c>
      <c r="C108" s="2" t="s">
        <v>232</v>
      </c>
      <c r="D108" s="5">
        <v>1</v>
      </c>
      <c r="E108" s="6">
        <v>0.18</v>
      </c>
      <c r="F108" s="5">
        <v>2</v>
      </c>
      <c r="G108" s="6">
        <v>0.72</v>
      </c>
      <c r="H108" s="5">
        <v>2</v>
      </c>
      <c r="I108" s="6">
        <v>0.72</v>
      </c>
      <c r="J108" s="5">
        <v>2</v>
      </c>
      <c r="K108" s="6">
        <v>0.72</v>
      </c>
      <c r="L108" s="5">
        <v>2</v>
      </c>
      <c r="M108" s="6">
        <v>0.72</v>
      </c>
      <c r="N108" s="5">
        <v>2</v>
      </c>
      <c r="O108" s="6">
        <v>0.54</v>
      </c>
      <c r="P108" s="5">
        <v>2</v>
      </c>
      <c r="Q108" s="6">
        <v>0.54</v>
      </c>
      <c r="R108" s="5">
        <v>2</v>
      </c>
      <c r="S108" s="6">
        <v>0.54</v>
      </c>
      <c r="T108" s="5">
        <v>2</v>
      </c>
      <c r="U108" s="6">
        <v>0.36</v>
      </c>
      <c r="V108" s="5">
        <v>1</v>
      </c>
      <c r="W108" s="6">
        <v>0.18</v>
      </c>
      <c r="X108" s="6">
        <f t="shared" si="6"/>
        <v>1.8</v>
      </c>
      <c r="Y108" s="6">
        <f t="shared" si="6"/>
        <v>0.52</v>
      </c>
    </row>
    <row r="109" spans="1:25" x14ac:dyDescent="0.25">
      <c r="A109" s="2" t="s">
        <v>227</v>
      </c>
      <c r="B109" s="2" t="s">
        <v>228</v>
      </c>
      <c r="C109" s="2" t="s">
        <v>233</v>
      </c>
      <c r="D109" s="5">
        <v>11</v>
      </c>
      <c r="E109" s="6">
        <v>2.1800000000000002</v>
      </c>
      <c r="F109" s="5">
        <v>16</v>
      </c>
      <c r="G109" s="6">
        <v>3.44</v>
      </c>
      <c r="H109" s="5">
        <v>16</v>
      </c>
      <c r="I109" s="6">
        <v>3.8</v>
      </c>
      <c r="J109" s="5">
        <v>16</v>
      </c>
      <c r="K109" s="6">
        <v>3.8</v>
      </c>
      <c r="L109" s="5">
        <v>16</v>
      </c>
      <c r="M109" s="6">
        <v>3.8</v>
      </c>
      <c r="N109" s="5">
        <v>7</v>
      </c>
      <c r="O109" s="6">
        <v>1.46</v>
      </c>
      <c r="P109" s="5">
        <v>10</v>
      </c>
      <c r="Q109" s="6">
        <v>2.38</v>
      </c>
      <c r="R109" s="5">
        <v>10</v>
      </c>
      <c r="S109" s="6">
        <v>2.38</v>
      </c>
      <c r="T109" s="5">
        <v>10</v>
      </c>
      <c r="U109" s="6">
        <v>2.38</v>
      </c>
      <c r="V109" s="5">
        <v>10</v>
      </c>
      <c r="W109" s="6">
        <v>2.38</v>
      </c>
      <c r="X109" s="6">
        <f t="shared" si="6"/>
        <v>12.2</v>
      </c>
      <c r="Y109" s="6">
        <f t="shared" si="6"/>
        <v>2.8</v>
      </c>
    </row>
    <row r="110" spans="1:25" x14ac:dyDescent="0.25">
      <c r="A110" s="2" t="s">
        <v>227</v>
      </c>
      <c r="B110" s="2" t="s">
        <v>228</v>
      </c>
      <c r="C110" s="2" t="s">
        <v>234</v>
      </c>
      <c r="D110" s="5">
        <v>0</v>
      </c>
      <c r="E110" s="6">
        <v>0</v>
      </c>
      <c r="F110" s="5">
        <v>1</v>
      </c>
      <c r="G110" s="6">
        <v>0.72</v>
      </c>
      <c r="H110" s="5">
        <v>1</v>
      </c>
      <c r="I110" s="6">
        <v>0.72</v>
      </c>
      <c r="J110" s="5">
        <v>1</v>
      </c>
      <c r="K110" s="6">
        <v>0.72</v>
      </c>
      <c r="L110" s="5">
        <v>1</v>
      </c>
      <c r="M110" s="6">
        <v>0.72</v>
      </c>
      <c r="N110" s="5">
        <v>1</v>
      </c>
      <c r="O110" s="6">
        <v>0.72</v>
      </c>
      <c r="P110" s="5">
        <v>1</v>
      </c>
      <c r="Q110" s="6">
        <v>0.72</v>
      </c>
      <c r="R110" s="5">
        <v>1</v>
      </c>
      <c r="S110" s="6">
        <v>0.72</v>
      </c>
      <c r="T110" s="5">
        <v>1</v>
      </c>
      <c r="U110" s="6">
        <v>0.72</v>
      </c>
      <c r="V110" s="5">
        <v>1</v>
      </c>
      <c r="W110" s="6">
        <v>0.72</v>
      </c>
      <c r="X110" s="6">
        <f t="shared" si="6"/>
        <v>0.9</v>
      </c>
      <c r="Y110" s="6">
        <f t="shared" si="6"/>
        <v>0.65</v>
      </c>
    </row>
    <row r="111" spans="1:25" x14ac:dyDescent="0.25">
      <c r="A111" s="2" t="s">
        <v>227</v>
      </c>
      <c r="B111" s="2" t="s">
        <v>228</v>
      </c>
      <c r="C111" s="2" t="s">
        <v>235</v>
      </c>
      <c r="D111" s="5">
        <v>0</v>
      </c>
      <c r="E111" s="6">
        <v>0</v>
      </c>
      <c r="F111" s="5">
        <v>0</v>
      </c>
      <c r="G111" s="6">
        <v>0</v>
      </c>
      <c r="H111" s="5">
        <v>0</v>
      </c>
      <c r="I111" s="6">
        <v>0</v>
      </c>
      <c r="J111" s="5">
        <v>0</v>
      </c>
      <c r="K111" s="6">
        <v>0</v>
      </c>
      <c r="L111" s="5">
        <v>0</v>
      </c>
      <c r="M111" s="6">
        <v>0</v>
      </c>
      <c r="N111" s="5">
        <v>0</v>
      </c>
      <c r="O111" s="6">
        <v>0</v>
      </c>
      <c r="P111" s="5">
        <v>1</v>
      </c>
      <c r="Q111" s="6">
        <v>0.36</v>
      </c>
      <c r="R111" s="5">
        <v>1</v>
      </c>
      <c r="S111" s="6">
        <v>0.36</v>
      </c>
      <c r="T111" s="5">
        <v>1</v>
      </c>
      <c r="U111" s="6">
        <v>0.36</v>
      </c>
      <c r="V111" s="5">
        <v>1</v>
      </c>
      <c r="W111" s="6">
        <v>0.36</v>
      </c>
      <c r="X111" s="6">
        <f t="shared" si="6"/>
        <v>0.4</v>
      </c>
      <c r="Y111" s="6">
        <f t="shared" si="6"/>
        <v>0.14000000000000001</v>
      </c>
    </row>
    <row r="112" spans="1:25" x14ac:dyDescent="0.25">
      <c r="A112" s="2" t="s">
        <v>227</v>
      </c>
      <c r="B112" s="2" t="s">
        <v>228</v>
      </c>
      <c r="C112" s="2" t="s">
        <v>236</v>
      </c>
      <c r="D112" s="5">
        <v>44</v>
      </c>
      <c r="E112" s="6">
        <v>8.8800000000000008</v>
      </c>
      <c r="F112" s="5">
        <v>89</v>
      </c>
      <c r="G112" s="6">
        <v>19.36</v>
      </c>
      <c r="H112" s="5">
        <v>84</v>
      </c>
      <c r="I112" s="6">
        <v>19.18</v>
      </c>
      <c r="J112" s="5">
        <v>84</v>
      </c>
      <c r="K112" s="6">
        <v>19.36</v>
      </c>
      <c r="L112" s="5">
        <v>81</v>
      </c>
      <c r="M112" s="6">
        <v>18.46</v>
      </c>
      <c r="N112" s="5">
        <v>69</v>
      </c>
      <c r="O112" s="6">
        <v>16.440000000000001</v>
      </c>
      <c r="P112" s="5">
        <v>81</v>
      </c>
      <c r="Q112" s="6">
        <v>19.14</v>
      </c>
      <c r="R112" s="5">
        <v>82</v>
      </c>
      <c r="S112" s="6">
        <v>19.68</v>
      </c>
      <c r="T112" s="5">
        <v>81</v>
      </c>
      <c r="U112" s="6">
        <v>19.14</v>
      </c>
      <c r="V112" s="5">
        <v>81</v>
      </c>
      <c r="W112" s="6">
        <v>19.14</v>
      </c>
      <c r="X112" s="6">
        <f t="shared" si="6"/>
        <v>77.599999999999994</v>
      </c>
      <c r="Y112" s="6">
        <f t="shared" si="6"/>
        <v>17.88</v>
      </c>
    </row>
    <row r="113" spans="1:25" x14ac:dyDescent="0.25">
      <c r="A113" s="2" t="s">
        <v>104</v>
      </c>
      <c r="B113" s="2" t="s">
        <v>105</v>
      </c>
      <c r="C113" s="2" t="s">
        <v>106</v>
      </c>
      <c r="D113" s="5">
        <v>35</v>
      </c>
      <c r="E113" s="6">
        <v>22.35</v>
      </c>
      <c r="F113" s="5">
        <v>35</v>
      </c>
      <c r="G113" s="6">
        <v>22.51</v>
      </c>
      <c r="H113" s="5">
        <v>33</v>
      </c>
      <c r="I113" s="6">
        <v>21.42</v>
      </c>
      <c r="J113" s="5">
        <v>32</v>
      </c>
      <c r="K113" s="6">
        <v>20.420000000000002</v>
      </c>
      <c r="L113" s="5">
        <v>33</v>
      </c>
      <c r="M113" s="6">
        <v>21.25</v>
      </c>
      <c r="N113" s="5">
        <v>41</v>
      </c>
      <c r="O113" s="6">
        <v>27.58</v>
      </c>
      <c r="P113" s="5">
        <v>44</v>
      </c>
      <c r="Q113" s="6">
        <v>30.080000000000002</v>
      </c>
      <c r="R113" s="5">
        <v>42</v>
      </c>
      <c r="S113" s="6">
        <v>30.08</v>
      </c>
      <c r="T113" s="5">
        <v>43</v>
      </c>
      <c r="U113" s="6">
        <v>30.78</v>
      </c>
      <c r="V113" s="5">
        <v>44</v>
      </c>
      <c r="W113" s="6">
        <v>31.78</v>
      </c>
      <c r="X113" s="6">
        <f t="shared" si="6"/>
        <v>38.200000000000003</v>
      </c>
      <c r="Y113" s="6">
        <f t="shared" si="6"/>
        <v>25.83</v>
      </c>
    </row>
    <row r="114" spans="1:25" x14ac:dyDescent="0.25">
      <c r="A114" s="2" t="s">
        <v>111</v>
      </c>
      <c r="B114" s="2" t="s">
        <v>112</v>
      </c>
      <c r="C114" s="2" t="s">
        <v>113</v>
      </c>
      <c r="D114" s="5">
        <v>252</v>
      </c>
      <c r="E114" s="6">
        <v>194.12</v>
      </c>
      <c r="F114" s="5">
        <v>276</v>
      </c>
      <c r="G114" s="6">
        <v>214.1</v>
      </c>
      <c r="H114" s="5">
        <v>299</v>
      </c>
      <c r="I114" s="6">
        <v>235.04999999999998</v>
      </c>
      <c r="J114" s="5">
        <v>319</v>
      </c>
      <c r="K114" s="6">
        <v>251.20999999999998</v>
      </c>
      <c r="L114" s="5">
        <v>333</v>
      </c>
      <c r="M114" s="6">
        <v>261.09000000000003</v>
      </c>
      <c r="N114" s="5">
        <v>342</v>
      </c>
      <c r="O114" s="6">
        <v>270.38</v>
      </c>
      <c r="P114" s="5">
        <v>348</v>
      </c>
      <c r="Q114" s="6">
        <v>275.91999999999996</v>
      </c>
      <c r="R114" s="5">
        <v>358</v>
      </c>
      <c r="S114" s="6">
        <v>292.29999999999995</v>
      </c>
      <c r="T114" s="5">
        <v>363</v>
      </c>
      <c r="U114" s="6">
        <v>297.84000000000003</v>
      </c>
      <c r="V114" s="5">
        <v>338</v>
      </c>
      <c r="W114" s="6">
        <v>276.98</v>
      </c>
      <c r="X114" s="6">
        <f t="shared" si="6"/>
        <v>322.8</v>
      </c>
      <c r="Y114" s="6">
        <f t="shared" si="6"/>
        <v>256.89999999999998</v>
      </c>
    </row>
    <row r="115" spans="1:25" x14ac:dyDescent="0.25">
      <c r="A115" s="2" t="s">
        <v>670</v>
      </c>
      <c r="B115" s="2" t="s">
        <v>671</v>
      </c>
      <c r="C115" s="2" t="s">
        <v>21</v>
      </c>
      <c r="D115" s="5">
        <v>540</v>
      </c>
      <c r="E115" s="6">
        <v>462.51</v>
      </c>
      <c r="F115" s="5">
        <v>546</v>
      </c>
      <c r="G115" s="6">
        <v>470.85999999999996</v>
      </c>
      <c r="H115" s="5">
        <v>561</v>
      </c>
      <c r="I115" s="6">
        <v>484.23999999999995</v>
      </c>
      <c r="J115" s="5">
        <v>569</v>
      </c>
      <c r="K115" s="6">
        <v>490.47999999999996</v>
      </c>
      <c r="L115" s="5">
        <v>573</v>
      </c>
      <c r="M115" s="6">
        <v>488.09999999999997</v>
      </c>
      <c r="N115" s="5">
        <v>575</v>
      </c>
      <c r="O115" s="6">
        <v>486.27000000000004</v>
      </c>
      <c r="P115" s="5">
        <v>588</v>
      </c>
      <c r="Q115" s="6">
        <v>498.25</v>
      </c>
      <c r="R115" s="5">
        <v>596</v>
      </c>
      <c r="S115" s="6">
        <v>508.01</v>
      </c>
      <c r="T115" s="5">
        <v>598</v>
      </c>
      <c r="U115" s="6">
        <v>508.84000000000003</v>
      </c>
      <c r="V115" s="5">
        <v>596</v>
      </c>
      <c r="W115" s="6">
        <v>502.23999999999995</v>
      </c>
      <c r="X115" s="6">
        <f t="shared" si="6"/>
        <v>574.20000000000005</v>
      </c>
      <c r="Y115" s="6">
        <f t="shared" si="6"/>
        <v>489.98</v>
      </c>
    </row>
    <row r="116" spans="1:25" x14ac:dyDescent="0.25">
      <c r="A116" s="2" t="s">
        <v>670</v>
      </c>
      <c r="B116" s="2" t="s">
        <v>671</v>
      </c>
      <c r="C116" s="2" t="s">
        <v>22</v>
      </c>
      <c r="D116" s="5">
        <v>101</v>
      </c>
      <c r="E116" s="6">
        <v>85.84</v>
      </c>
      <c r="F116" s="5">
        <v>109</v>
      </c>
      <c r="G116" s="6">
        <v>89.11</v>
      </c>
      <c r="H116" s="5">
        <v>83</v>
      </c>
      <c r="I116" s="6">
        <v>71.790000000000006</v>
      </c>
      <c r="J116" s="5">
        <v>102</v>
      </c>
      <c r="K116" s="6">
        <v>84.28</v>
      </c>
      <c r="L116" s="5">
        <v>98</v>
      </c>
      <c r="M116" s="6">
        <v>75.209999999999994</v>
      </c>
      <c r="N116" s="5">
        <v>98</v>
      </c>
      <c r="O116" s="6">
        <v>85.84</v>
      </c>
      <c r="P116" s="5">
        <v>104</v>
      </c>
      <c r="Q116" s="6">
        <v>92.69</v>
      </c>
      <c r="R116" s="5">
        <v>98</v>
      </c>
      <c r="S116" s="6">
        <v>85.76</v>
      </c>
      <c r="T116" s="5">
        <v>102</v>
      </c>
      <c r="U116" s="6">
        <v>87.09</v>
      </c>
      <c r="V116" s="5">
        <v>101</v>
      </c>
      <c r="W116" s="6">
        <v>77.540000000000006</v>
      </c>
      <c r="X116" s="6">
        <f t="shared" si="6"/>
        <v>99.6</v>
      </c>
      <c r="Y116" s="6">
        <f t="shared" si="6"/>
        <v>83.52</v>
      </c>
    </row>
    <row r="117" spans="1:25" x14ac:dyDescent="0.25">
      <c r="A117" s="2" t="s">
        <v>244</v>
      </c>
      <c r="B117" s="2" t="s">
        <v>245</v>
      </c>
      <c r="C117" s="2" t="s">
        <v>246</v>
      </c>
      <c r="D117" s="5">
        <v>19</v>
      </c>
      <c r="E117" s="6">
        <v>19</v>
      </c>
      <c r="F117" s="5">
        <v>21</v>
      </c>
      <c r="G117" s="6">
        <v>21</v>
      </c>
      <c r="H117" s="5">
        <v>21</v>
      </c>
      <c r="I117" s="6">
        <v>21</v>
      </c>
      <c r="J117" s="5">
        <v>22</v>
      </c>
      <c r="K117" s="6">
        <v>22</v>
      </c>
      <c r="L117" s="5">
        <v>22</v>
      </c>
      <c r="M117" s="6">
        <v>22</v>
      </c>
      <c r="N117" s="5">
        <v>26</v>
      </c>
      <c r="O117" s="6">
        <v>26</v>
      </c>
      <c r="P117" s="5">
        <v>31</v>
      </c>
      <c r="Q117" s="6">
        <v>31</v>
      </c>
      <c r="R117" s="5">
        <v>23</v>
      </c>
      <c r="S117" s="6">
        <v>23</v>
      </c>
      <c r="T117" s="5">
        <v>13</v>
      </c>
      <c r="U117" s="6">
        <v>13</v>
      </c>
      <c r="V117" s="5">
        <v>6</v>
      </c>
      <c r="W117" s="6">
        <v>6</v>
      </c>
      <c r="X117" s="6">
        <f t="shared" si="6"/>
        <v>20.399999999999999</v>
      </c>
      <c r="Y117" s="6">
        <f t="shared" si="6"/>
        <v>20.399999999999999</v>
      </c>
    </row>
    <row r="118" spans="1:25" x14ac:dyDescent="0.25">
      <c r="A118" s="2" t="s">
        <v>244</v>
      </c>
      <c r="B118" s="2" t="s">
        <v>245</v>
      </c>
      <c r="C118" s="2" t="s">
        <v>247</v>
      </c>
      <c r="D118" s="5">
        <v>0</v>
      </c>
      <c r="E118" s="6">
        <v>0</v>
      </c>
      <c r="F118" s="5">
        <v>0</v>
      </c>
      <c r="G118" s="6">
        <v>0</v>
      </c>
      <c r="H118" s="5">
        <v>131</v>
      </c>
      <c r="I118" s="6">
        <v>23.58</v>
      </c>
      <c r="J118" s="5">
        <v>116</v>
      </c>
      <c r="K118" s="6">
        <v>17.399999999999999</v>
      </c>
      <c r="L118" s="5">
        <v>120</v>
      </c>
      <c r="M118" s="6">
        <v>18</v>
      </c>
      <c r="N118" s="5">
        <v>43</v>
      </c>
      <c r="O118" s="6">
        <v>6.45</v>
      </c>
      <c r="P118" s="5">
        <v>127</v>
      </c>
      <c r="Q118" s="6">
        <v>19.05</v>
      </c>
      <c r="R118" s="5">
        <v>139</v>
      </c>
      <c r="S118" s="6">
        <v>20.85</v>
      </c>
      <c r="T118" s="5">
        <v>153</v>
      </c>
      <c r="U118" s="6">
        <v>22.95</v>
      </c>
      <c r="V118" s="5">
        <v>141</v>
      </c>
      <c r="W118" s="6">
        <v>21.15</v>
      </c>
      <c r="X118" s="6">
        <f t="shared" si="6"/>
        <v>97</v>
      </c>
      <c r="Y118" s="6">
        <f t="shared" si="6"/>
        <v>14.94</v>
      </c>
    </row>
    <row r="119" spans="1:25" x14ac:dyDescent="0.25">
      <c r="A119" s="2" t="s">
        <v>244</v>
      </c>
      <c r="B119" s="2" t="s">
        <v>245</v>
      </c>
      <c r="C119" s="2" t="s">
        <v>248</v>
      </c>
      <c r="D119" s="5">
        <v>143</v>
      </c>
      <c r="E119" s="6">
        <v>137.18</v>
      </c>
      <c r="F119" s="5">
        <v>137</v>
      </c>
      <c r="G119" s="6">
        <v>130.26999999999998</v>
      </c>
      <c r="H119" s="5">
        <v>180</v>
      </c>
      <c r="I119" s="6">
        <v>169.76</v>
      </c>
      <c r="J119" s="5">
        <v>161</v>
      </c>
      <c r="K119" s="6">
        <v>155.6</v>
      </c>
      <c r="L119" s="5">
        <v>153</v>
      </c>
      <c r="M119" s="6">
        <v>147.66</v>
      </c>
      <c r="N119" s="5">
        <v>174</v>
      </c>
      <c r="O119" s="6">
        <v>165.53</v>
      </c>
      <c r="P119" s="5">
        <v>171</v>
      </c>
      <c r="Q119" s="6">
        <v>161.19</v>
      </c>
      <c r="R119" s="5">
        <v>168</v>
      </c>
      <c r="S119" s="6">
        <v>158.4</v>
      </c>
      <c r="T119" s="5">
        <v>186</v>
      </c>
      <c r="U119" s="6">
        <v>180.55</v>
      </c>
      <c r="V119" s="5">
        <v>186</v>
      </c>
      <c r="W119" s="6">
        <v>180.55</v>
      </c>
      <c r="X119" s="6">
        <f t="shared" si="6"/>
        <v>165.9</v>
      </c>
      <c r="Y119" s="6">
        <f t="shared" si="6"/>
        <v>158.66999999999999</v>
      </c>
    </row>
    <row r="120" spans="1:25" x14ac:dyDescent="0.25">
      <c r="A120" s="2" t="s">
        <v>553</v>
      </c>
      <c r="B120" s="2" t="s">
        <v>554</v>
      </c>
      <c r="C120" s="2" t="s">
        <v>555</v>
      </c>
      <c r="D120" s="5">
        <v>412</v>
      </c>
      <c r="E120" s="6">
        <v>386.39000000000004</v>
      </c>
      <c r="F120" s="5">
        <v>441</v>
      </c>
      <c r="G120" s="6">
        <v>404.59999999999997</v>
      </c>
      <c r="H120" s="5">
        <v>452</v>
      </c>
      <c r="I120" s="6">
        <v>410.07000000000005</v>
      </c>
      <c r="J120" s="5">
        <v>447</v>
      </c>
      <c r="K120" s="6">
        <v>406.38000000000011</v>
      </c>
      <c r="L120" s="5">
        <v>0</v>
      </c>
      <c r="M120" s="6">
        <v>0</v>
      </c>
      <c r="N120" s="5">
        <v>467</v>
      </c>
      <c r="O120" s="6">
        <v>420.18</v>
      </c>
      <c r="P120" s="5">
        <v>482</v>
      </c>
      <c r="Q120" s="6">
        <v>428.77000000000004</v>
      </c>
      <c r="R120" s="5">
        <v>483</v>
      </c>
      <c r="S120" s="6">
        <v>424.15</v>
      </c>
      <c r="T120" s="5">
        <v>476</v>
      </c>
      <c r="U120" s="6">
        <v>413.79</v>
      </c>
      <c r="V120" s="5">
        <v>469</v>
      </c>
      <c r="W120" s="6">
        <v>401.62999999999994</v>
      </c>
      <c r="X120" s="6">
        <f t="shared" si="6"/>
        <v>412.9</v>
      </c>
      <c r="Y120" s="6">
        <f t="shared" si="6"/>
        <v>369.6</v>
      </c>
    </row>
    <row r="121" spans="1:25" x14ac:dyDescent="0.25">
      <c r="A121" s="2" t="s">
        <v>553</v>
      </c>
      <c r="B121" s="2" t="s">
        <v>554</v>
      </c>
      <c r="C121" s="2" t="s">
        <v>556</v>
      </c>
      <c r="D121" s="5">
        <v>0</v>
      </c>
      <c r="E121" s="6">
        <v>0</v>
      </c>
      <c r="F121" s="5">
        <v>0</v>
      </c>
      <c r="G121" s="6">
        <v>0</v>
      </c>
      <c r="H121" s="5">
        <v>0</v>
      </c>
      <c r="I121" s="6">
        <v>0</v>
      </c>
      <c r="J121" s="5">
        <v>0</v>
      </c>
      <c r="K121" s="6">
        <v>0</v>
      </c>
      <c r="L121" s="5">
        <v>455</v>
      </c>
      <c r="M121" s="6">
        <v>412.14000000000021</v>
      </c>
      <c r="N121" s="5">
        <v>0</v>
      </c>
      <c r="O121" s="6">
        <v>0</v>
      </c>
      <c r="P121" s="5">
        <v>0</v>
      </c>
      <c r="Q121" s="6">
        <v>0</v>
      </c>
      <c r="R121" s="5">
        <v>0</v>
      </c>
      <c r="S121" s="6">
        <v>0</v>
      </c>
      <c r="T121" s="5">
        <v>0</v>
      </c>
      <c r="U121" s="6">
        <v>0</v>
      </c>
      <c r="V121" s="5">
        <v>0</v>
      </c>
      <c r="W121" s="6">
        <v>0</v>
      </c>
      <c r="X121" s="6">
        <f t="shared" si="6"/>
        <v>45.5</v>
      </c>
      <c r="Y121" s="6">
        <f t="shared" si="6"/>
        <v>41.21</v>
      </c>
    </row>
    <row r="122" spans="1:25" x14ac:dyDescent="0.25">
      <c r="A122" s="2" t="s">
        <v>413</v>
      </c>
      <c r="B122" s="2" t="s">
        <v>414</v>
      </c>
      <c r="C122" s="2" t="s">
        <v>415</v>
      </c>
      <c r="D122" s="5">
        <v>17</v>
      </c>
      <c r="E122" s="6">
        <v>14.18</v>
      </c>
      <c r="F122" s="5">
        <v>17</v>
      </c>
      <c r="G122" s="6">
        <v>14.18</v>
      </c>
      <c r="H122" s="5">
        <v>18</v>
      </c>
      <c r="I122" s="6">
        <v>14.59</v>
      </c>
      <c r="J122" s="5">
        <v>18</v>
      </c>
      <c r="K122" s="6">
        <v>14.59</v>
      </c>
      <c r="L122" s="5">
        <v>18</v>
      </c>
      <c r="M122" s="6">
        <v>14.09</v>
      </c>
      <c r="N122" s="5">
        <v>18</v>
      </c>
      <c r="O122" s="6">
        <v>14.35</v>
      </c>
      <c r="P122" s="5">
        <v>20</v>
      </c>
      <c r="Q122" s="6">
        <v>16.09</v>
      </c>
      <c r="R122" s="5">
        <v>23</v>
      </c>
      <c r="S122" s="6">
        <v>18.590000000000003</v>
      </c>
      <c r="T122" s="5">
        <v>24</v>
      </c>
      <c r="U122" s="6">
        <v>19.260000000000002</v>
      </c>
      <c r="V122" s="5">
        <v>25</v>
      </c>
      <c r="W122" s="6">
        <v>20.76</v>
      </c>
      <c r="X122" s="6">
        <f t="shared" si="6"/>
        <v>19.8</v>
      </c>
      <c r="Y122" s="6">
        <f t="shared" si="6"/>
        <v>16.07</v>
      </c>
    </row>
    <row r="123" spans="1:25" x14ac:dyDescent="0.25">
      <c r="A123" s="2" t="s">
        <v>68</v>
      </c>
      <c r="B123" s="2" t="s">
        <v>69</v>
      </c>
      <c r="C123" s="2" t="s">
        <v>70</v>
      </c>
      <c r="D123" s="5">
        <v>37</v>
      </c>
      <c r="E123" s="6">
        <v>32.870000000000005</v>
      </c>
      <c r="F123" s="5">
        <v>40</v>
      </c>
      <c r="G123" s="6">
        <v>35.369999999999997</v>
      </c>
      <c r="H123" s="5">
        <v>38</v>
      </c>
      <c r="I123" s="6">
        <v>33.769999999999996</v>
      </c>
      <c r="J123" s="5">
        <v>36</v>
      </c>
      <c r="K123" s="6">
        <v>31.77</v>
      </c>
      <c r="L123" s="5">
        <v>36</v>
      </c>
      <c r="M123" s="6">
        <v>32.269999999999996</v>
      </c>
      <c r="N123" s="5">
        <v>47</v>
      </c>
      <c r="O123" s="6">
        <v>41.69</v>
      </c>
      <c r="P123" s="5">
        <v>47</v>
      </c>
      <c r="Q123" s="6">
        <v>41.76</v>
      </c>
      <c r="R123" s="5">
        <v>46</v>
      </c>
      <c r="S123" s="6">
        <v>41.16</v>
      </c>
      <c r="T123" s="5">
        <v>48</v>
      </c>
      <c r="U123" s="6">
        <v>43.33</v>
      </c>
      <c r="V123" s="5">
        <v>47</v>
      </c>
      <c r="W123" s="6">
        <v>42.16</v>
      </c>
      <c r="X123" s="6">
        <f t="shared" si="6"/>
        <v>42.2</v>
      </c>
      <c r="Y123" s="6">
        <f t="shared" si="6"/>
        <v>37.619999999999997</v>
      </c>
    </row>
    <row r="124" spans="1:25" x14ac:dyDescent="0.25">
      <c r="A124" s="2" t="s">
        <v>34</v>
      </c>
      <c r="B124" s="2" t="s">
        <v>35</v>
      </c>
      <c r="C124" s="2" t="s">
        <v>36</v>
      </c>
      <c r="D124" s="5">
        <v>31</v>
      </c>
      <c r="E124" s="6">
        <v>31</v>
      </c>
      <c r="F124" s="5">
        <v>33</v>
      </c>
      <c r="G124" s="6">
        <v>33</v>
      </c>
      <c r="H124" s="5">
        <v>34</v>
      </c>
      <c r="I124" s="6">
        <v>34</v>
      </c>
      <c r="J124" s="5">
        <v>34</v>
      </c>
      <c r="K124" s="6">
        <v>34</v>
      </c>
      <c r="L124" s="5">
        <v>35</v>
      </c>
      <c r="M124" s="6">
        <v>35</v>
      </c>
      <c r="N124" s="5">
        <v>39</v>
      </c>
      <c r="O124" s="6">
        <v>39</v>
      </c>
      <c r="P124" s="5">
        <v>39</v>
      </c>
      <c r="Q124" s="6">
        <v>39</v>
      </c>
      <c r="R124" s="5">
        <v>42</v>
      </c>
      <c r="S124" s="6">
        <v>41.02</v>
      </c>
      <c r="T124" s="5">
        <v>44</v>
      </c>
      <c r="U124" s="6">
        <v>43.02</v>
      </c>
      <c r="V124" s="5">
        <v>44</v>
      </c>
      <c r="W124" s="6">
        <v>42.04</v>
      </c>
      <c r="X124" s="6">
        <f t="shared" si="6"/>
        <v>37.5</v>
      </c>
      <c r="Y124" s="6">
        <f t="shared" si="6"/>
        <v>37.11</v>
      </c>
    </row>
    <row r="125" spans="1:25" x14ac:dyDescent="0.25">
      <c r="A125" s="2" t="s">
        <v>429</v>
      </c>
      <c r="B125" s="2" t="s">
        <v>430</v>
      </c>
      <c r="C125" s="2" t="s">
        <v>431</v>
      </c>
      <c r="D125" s="5">
        <v>22</v>
      </c>
      <c r="E125" s="6">
        <v>19.21</v>
      </c>
      <c r="F125" s="5">
        <v>27</v>
      </c>
      <c r="G125" s="6">
        <v>22.83</v>
      </c>
      <c r="H125" s="5">
        <v>30</v>
      </c>
      <c r="I125" s="6">
        <v>26.15</v>
      </c>
      <c r="J125" s="5">
        <v>34</v>
      </c>
      <c r="K125" s="6">
        <v>28.69</v>
      </c>
      <c r="L125" s="5">
        <v>34</v>
      </c>
      <c r="M125" s="6">
        <v>28.69</v>
      </c>
      <c r="N125" s="5">
        <v>30</v>
      </c>
      <c r="O125" s="6">
        <v>24.05</v>
      </c>
      <c r="P125" s="5">
        <v>32</v>
      </c>
      <c r="Q125" s="6">
        <v>24.33</v>
      </c>
      <c r="R125" s="5">
        <v>33</v>
      </c>
      <c r="S125" s="6">
        <v>24.69</v>
      </c>
      <c r="T125" s="5">
        <v>32</v>
      </c>
      <c r="U125" s="6">
        <v>24.56</v>
      </c>
      <c r="V125" s="5">
        <v>31</v>
      </c>
      <c r="W125" s="6">
        <v>24.05</v>
      </c>
      <c r="X125" s="6">
        <f t="shared" si="6"/>
        <v>30.5</v>
      </c>
      <c r="Y125" s="6">
        <f t="shared" si="6"/>
        <v>24.73</v>
      </c>
    </row>
    <row r="126" spans="1:25" x14ac:dyDescent="0.25">
      <c r="A126" s="2" t="s">
        <v>429</v>
      </c>
      <c r="B126" s="2" t="s">
        <v>430</v>
      </c>
      <c r="C126" s="2" t="s">
        <v>155</v>
      </c>
      <c r="D126" s="5">
        <v>103</v>
      </c>
      <c r="E126" s="6">
        <v>52.68</v>
      </c>
      <c r="F126" s="5">
        <v>107</v>
      </c>
      <c r="G126" s="6">
        <v>55.67</v>
      </c>
      <c r="H126" s="5">
        <v>113</v>
      </c>
      <c r="I126" s="6">
        <v>59.220000000000006</v>
      </c>
      <c r="J126" s="5">
        <v>116</v>
      </c>
      <c r="K126" s="6">
        <v>63.420000000000009</v>
      </c>
      <c r="L126" s="5">
        <v>118</v>
      </c>
      <c r="M126" s="6">
        <v>66.97999999999999</v>
      </c>
      <c r="N126" s="5">
        <v>107</v>
      </c>
      <c r="O126" s="6">
        <v>64.13</v>
      </c>
      <c r="P126" s="5">
        <v>100</v>
      </c>
      <c r="Q126" s="6">
        <v>60.169999999999995</v>
      </c>
      <c r="R126" s="5">
        <v>104</v>
      </c>
      <c r="S126" s="6">
        <v>64.56</v>
      </c>
      <c r="T126" s="5">
        <v>105</v>
      </c>
      <c r="U126" s="6">
        <v>65.56</v>
      </c>
      <c r="V126" s="5">
        <v>102</v>
      </c>
      <c r="W126" s="6">
        <v>62.56</v>
      </c>
      <c r="X126" s="6">
        <f t="shared" si="6"/>
        <v>107.5</v>
      </c>
      <c r="Y126" s="6">
        <f t="shared" si="6"/>
        <v>61.5</v>
      </c>
    </row>
    <row r="127" spans="1:25" x14ac:dyDescent="0.25">
      <c r="A127" s="2" t="s">
        <v>429</v>
      </c>
      <c r="B127" s="2" t="s">
        <v>430</v>
      </c>
      <c r="C127" s="2" t="s">
        <v>432</v>
      </c>
      <c r="D127" s="5">
        <v>1</v>
      </c>
      <c r="E127" s="6">
        <v>1</v>
      </c>
      <c r="F127" s="5">
        <v>1</v>
      </c>
      <c r="G127" s="6">
        <v>1</v>
      </c>
      <c r="H127" s="5">
        <v>1</v>
      </c>
      <c r="I127" s="6">
        <v>1</v>
      </c>
      <c r="J127" s="5">
        <v>2</v>
      </c>
      <c r="K127" s="6">
        <v>2</v>
      </c>
      <c r="L127" s="5">
        <v>2</v>
      </c>
      <c r="M127" s="6">
        <v>2</v>
      </c>
      <c r="N127" s="5">
        <v>3</v>
      </c>
      <c r="O127" s="6">
        <v>3</v>
      </c>
      <c r="P127" s="5">
        <v>3</v>
      </c>
      <c r="Q127" s="6">
        <v>3</v>
      </c>
      <c r="R127" s="5">
        <v>3</v>
      </c>
      <c r="S127" s="6">
        <v>3</v>
      </c>
      <c r="T127" s="5">
        <v>3</v>
      </c>
      <c r="U127" s="6">
        <v>3</v>
      </c>
      <c r="V127" s="5">
        <v>3</v>
      </c>
      <c r="W127" s="6">
        <v>3</v>
      </c>
      <c r="X127" s="6">
        <f t="shared" si="6"/>
        <v>2.2000000000000002</v>
      </c>
      <c r="Y127" s="6">
        <f t="shared" si="6"/>
        <v>2.2000000000000002</v>
      </c>
    </row>
    <row r="128" spans="1:25" x14ac:dyDescent="0.25">
      <c r="A128" s="2" t="s">
        <v>429</v>
      </c>
      <c r="B128" s="2" t="s">
        <v>430</v>
      </c>
      <c r="C128" s="2" t="s">
        <v>433</v>
      </c>
      <c r="D128" s="5">
        <v>40</v>
      </c>
      <c r="E128" s="6">
        <v>30.28</v>
      </c>
      <c r="F128" s="5">
        <v>45</v>
      </c>
      <c r="G128" s="6">
        <v>37.5</v>
      </c>
      <c r="H128" s="5">
        <v>51</v>
      </c>
      <c r="I128" s="6">
        <v>42.9</v>
      </c>
      <c r="J128" s="5">
        <v>54</v>
      </c>
      <c r="K128" s="6">
        <v>44.36</v>
      </c>
      <c r="L128" s="5">
        <v>54</v>
      </c>
      <c r="M128" s="6">
        <v>45.66</v>
      </c>
      <c r="N128" s="5">
        <v>59</v>
      </c>
      <c r="O128" s="6">
        <v>47.24</v>
      </c>
      <c r="P128" s="5">
        <v>67</v>
      </c>
      <c r="Q128" s="6">
        <v>52.66</v>
      </c>
      <c r="R128" s="5">
        <v>70</v>
      </c>
      <c r="S128" s="6">
        <v>53.71</v>
      </c>
      <c r="T128" s="5">
        <v>75</v>
      </c>
      <c r="U128" s="6">
        <v>55.79</v>
      </c>
      <c r="V128" s="5">
        <v>73</v>
      </c>
      <c r="W128" s="6">
        <v>55.24</v>
      </c>
      <c r="X128" s="6">
        <f t="shared" si="6"/>
        <v>58.8</v>
      </c>
      <c r="Y128" s="6">
        <f t="shared" si="6"/>
        <v>46.53</v>
      </c>
    </row>
    <row r="129" spans="1:25" x14ac:dyDescent="0.25">
      <c r="A129" s="2" t="s">
        <v>429</v>
      </c>
      <c r="B129" s="2" t="s">
        <v>430</v>
      </c>
      <c r="C129" s="2" t="s">
        <v>434</v>
      </c>
      <c r="D129" s="5">
        <v>0</v>
      </c>
      <c r="E129" s="6">
        <v>0</v>
      </c>
      <c r="F129" s="5">
        <v>0</v>
      </c>
      <c r="G129" s="6">
        <v>0</v>
      </c>
      <c r="H129" s="5">
        <v>0</v>
      </c>
      <c r="I129" s="6">
        <v>0</v>
      </c>
      <c r="J129" s="5">
        <v>1</v>
      </c>
      <c r="K129" s="6">
        <v>1</v>
      </c>
      <c r="L129" s="5">
        <v>1</v>
      </c>
      <c r="M129" s="6">
        <v>0.54</v>
      </c>
      <c r="N129" s="5">
        <v>5</v>
      </c>
      <c r="O129" s="6">
        <v>3.78</v>
      </c>
      <c r="P129" s="5">
        <v>5</v>
      </c>
      <c r="Q129" s="6">
        <v>3.75</v>
      </c>
      <c r="R129" s="5">
        <v>4</v>
      </c>
      <c r="S129" s="6">
        <v>3.54</v>
      </c>
      <c r="T129" s="5">
        <v>4</v>
      </c>
      <c r="U129" s="6">
        <v>3.56</v>
      </c>
      <c r="V129" s="5">
        <v>4</v>
      </c>
      <c r="W129" s="6">
        <v>3.56</v>
      </c>
      <c r="X129" s="6">
        <f t="shared" si="6"/>
        <v>2.4</v>
      </c>
      <c r="Y129" s="6">
        <f t="shared" si="6"/>
        <v>1.97</v>
      </c>
    </row>
    <row r="130" spans="1:25" x14ac:dyDescent="0.25">
      <c r="A130" s="2" t="s">
        <v>240</v>
      </c>
      <c r="B130" s="2" t="s">
        <v>241</v>
      </c>
      <c r="C130" s="2" t="s">
        <v>242</v>
      </c>
      <c r="D130" s="5">
        <v>74</v>
      </c>
      <c r="E130" s="6">
        <v>66.2</v>
      </c>
      <c r="F130" s="5">
        <v>76</v>
      </c>
      <c r="G130" s="6">
        <v>67.400000000000006</v>
      </c>
      <c r="H130" s="5">
        <v>76</v>
      </c>
      <c r="I130" s="6">
        <v>67</v>
      </c>
      <c r="J130" s="5">
        <v>80</v>
      </c>
      <c r="K130" s="6">
        <v>72.599999999999994</v>
      </c>
      <c r="L130" s="5">
        <v>79</v>
      </c>
      <c r="M130" s="6">
        <v>72</v>
      </c>
      <c r="N130" s="5">
        <v>85</v>
      </c>
      <c r="O130" s="6">
        <v>77.599999999999994</v>
      </c>
      <c r="P130" s="5">
        <v>85</v>
      </c>
      <c r="Q130" s="6">
        <v>77.599999999999994</v>
      </c>
      <c r="R130" s="5">
        <v>84</v>
      </c>
      <c r="S130" s="6">
        <v>75.799999999999983</v>
      </c>
      <c r="T130" s="5">
        <v>85</v>
      </c>
      <c r="U130" s="6">
        <v>76.8</v>
      </c>
      <c r="V130" s="5">
        <v>84</v>
      </c>
      <c r="W130" s="6">
        <v>75.8</v>
      </c>
      <c r="X130" s="6">
        <f t="shared" si="6"/>
        <v>80.8</v>
      </c>
      <c r="Y130" s="6">
        <f t="shared" si="6"/>
        <v>72.88</v>
      </c>
    </row>
    <row r="131" spans="1:25" x14ac:dyDescent="0.25">
      <c r="A131" s="2" t="s">
        <v>240</v>
      </c>
      <c r="B131" s="2" t="s">
        <v>241</v>
      </c>
      <c r="C131" s="2" t="s">
        <v>243</v>
      </c>
      <c r="D131" s="5">
        <v>80</v>
      </c>
      <c r="E131" s="6">
        <v>3.63</v>
      </c>
      <c r="F131" s="5">
        <v>79</v>
      </c>
      <c r="G131" s="6">
        <v>4.45</v>
      </c>
      <c r="H131" s="5">
        <v>76</v>
      </c>
      <c r="I131" s="6">
        <v>4.2699999999999996</v>
      </c>
      <c r="J131" s="5">
        <v>75</v>
      </c>
      <c r="K131" s="6">
        <v>4.3499999999999996</v>
      </c>
      <c r="L131" s="5">
        <v>74</v>
      </c>
      <c r="M131" s="6">
        <v>4.0199999999999996</v>
      </c>
      <c r="N131" s="5">
        <v>78</v>
      </c>
      <c r="O131" s="6">
        <v>4.58</v>
      </c>
      <c r="P131" s="5">
        <v>76</v>
      </c>
      <c r="Q131" s="6">
        <v>4.63</v>
      </c>
      <c r="R131" s="5">
        <v>71</v>
      </c>
      <c r="S131" s="6">
        <v>4.25</v>
      </c>
      <c r="T131" s="5">
        <v>71</v>
      </c>
      <c r="U131" s="6">
        <v>4.25</v>
      </c>
      <c r="V131" s="5">
        <v>71</v>
      </c>
      <c r="W131" s="6">
        <v>4.37</v>
      </c>
      <c r="X131" s="6">
        <f t="shared" si="6"/>
        <v>75.099999999999994</v>
      </c>
      <c r="Y131" s="6">
        <f t="shared" si="6"/>
        <v>4.28</v>
      </c>
    </row>
    <row r="132" spans="1:25" x14ac:dyDescent="0.25">
      <c r="A132" s="2" t="s">
        <v>672</v>
      </c>
      <c r="B132" s="2" t="s">
        <v>673</v>
      </c>
      <c r="C132" s="2" t="s">
        <v>457</v>
      </c>
      <c r="D132" s="5">
        <v>45</v>
      </c>
      <c r="E132" s="6">
        <v>33.1</v>
      </c>
      <c r="F132" s="5">
        <v>48</v>
      </c>
      <c r="G132" s="6">
        <v>30.91</v>
      </c>
      <c r="H132" s="5">
        <v>49</v>
      </c>
      <c r="I132" s="6">
        <v>30.45</v>
      </c>
      <c r="J132" s="5">
        <v>45</v>
      </c>
      <c r="K132" s="6">
        <v>29.41</v>
      </c>
      <c r="L132" s="5">
        <v>45</v>
      </c>
      <c r="M132" s="6">
        <v>26.31</v>
      </c>
      <c r="N132" s="5">
        <v>54</v>
      </c>
      <c r="O132" s="6">
        <v>35.54</v>
      </c>
      <c r="P132" s="5">
        <v>60</v>
      </c>
      <c r="Q132" s="6">
        <v>40.44</v>
      </c>
      <c r="R132" s="5">
        <v>60</v>
      </c>
      <c r="S132" s="6">
        <v>41.25</v>
      </c>
      <c r="T132" s="5">
        <v>57</v>
      </c>
      <c r="U132" s="6">
        <v>38.409999999999997</v>
      </c>
      <c r="V132" s="5">
        <v>54</v>
      </c>
      <c r="W132" s="6">
        <v>33.65</v>
      </c>
      <c r="X132" s="6">
        <f t="shared" si="6"/>
        <v>51.7</v>
      </c>
      <c r="Y132" s="6">
        <f t="shared" si="6"/>
        <v>33.950000000000003</v>
      </c>
    </row>
    <row r="133" spans="1:25" x14ac:dyDescent="0.25">
      <c r="A133" s="2" t="s">
        <v>672</v>
      </c>
      <c r="B133" s="2" t="s">
        <v>673</v>
      </c>
      <c r="C133" s="2" t="s">
        <v>458</v>
      </c>
      <c r="D133" s="5">
        <v>16</v>
      </c>
      <c r="E133" s="6">
        <v>14.23</v>
      </c>
      <c r="F133" s="5">
        <v>17</v>
      </c>
      <c r="G133" s="6">
        <v>14.059999999999999</v>
      </c>
      <c r="H133" s="5">
        <v>16</v>
      </c>
      <c r="I133" s="6">
        <v>13.16</v>
      </c>
      <c r="J133" s="5">
        <v>16</v>
      </c>
      <c r="K133" s="6">
        <v>13.5</v>
      </c>
      <c r="L133" s="5">
        <v>15</v>
      </c>
      <c r="M133" s="6">
        <v>13.239999999999998</v>
      </c>
      <c r="N133" s="5">
        <v>18</v>
      </c>
      <c r="O133" s="6">
        <v>15.330000000000002</v>
      </c>
      <c r="P133" s="5">
        <v>18</v>
      </c>
      <c r="Q133" s="6">
        <v>13.059999999999999</v>
      </c>
      <c r="R133" s="5">
        <v>18</v>
      </c>
      <c r="S133" s="6">
        <v>14.66</v>
      </c>
      <c r="T133" s="5">
        <v>18</v>
      </c>
      <c r="U133" s="6">
        <v>14.260000000000002</v>
      </c>
      <c r="V133" s="5">
        <v>18</v>
      </c>
      <c r="W133" s="6">
        <v>13.27</v>
      </c>
      <c r="X133" s="6">
        <f t="shared" si="6"/>
        <v>17</v>
      </c>
      <c r="Y133" s="6">
        <f t="shared" si="6"/>
        <v>13.88</v>
      </c>
    </row>
    <row r="134" spans="1:25" x14ac:dyDescent="0.25">
      <c r="A134" s="2" t="s">
        <v>518</v>
      </c>
      <c r="B134" s="2" t="s">
        <v>519</v>
      </c>
      <c r="C134" s="2" t="s">
        <v>520</v>
      </c>
      <c r="D134" s="5">
        <v>5</v>
      </c>
      <c r="E134" s="6">
        <v>5</v>
      </c>
      <c r="F134" s="5">
        <v>6</v>
      </c>
      <c r="G134" s="6">
        <v>6</v>
      </c>
      <c r="H134" s="5">
        <v>6</v>
      </c>
      <c r="I134" s="6">
        <v>6</v>
      </c>
      <c r="J134" s="5">
        <v>6</v>
      </c>
      <c r="K134" s="6">
        <v>6</v>
      </c>
      <c r="L134" s="5">
        <v>6</v>
      </c>
      <c r="M134" s="6">
        <v>6</v>
      </c>
      <c r="N134" s="5">
        <v>6</v>
      </c>
      <c r="O134" s="6">
        <v>6</v>
      </c>
      <c r="P134" s="5">
        <v>7</v>
      </c>
      <c r="Q134" s="6">
        <v>7</v>
      </c>
      <c r="R134" s="5">
        <v>7</v>
      </c>
      <c r="S134" s="6">
        <v>7</v>
      </c>
      <c r="T134" s="5">
        <v>7</v>
      </c>
      <c r="U134" s="6">
        <v>7</v>
      </c>
      <c r="V134" s="5">
        <v>6</v>
      </c>
      <c r="W134" s="6">
        <v>6</v>
      </c>
      <c r="X134" s="6">
        <f t="shared" ref="X134:Y197" si="7">ROUND((R134+P134+N134+L134+J134+H134+D134+F134+T134+V134)/10,2)</f>
        <v>6.2</v>
      </c>
      <c r="Y134" s="6">
        <f t="shared" si="7"/>
        <v>6.2</v>
      </c>
    </row>
    <row r="135" spans="1:25" x14ac:dyDescent="0.25">
      <c r="A135" s="2" t="s">
        <v>96</v>
      </c>
      <c r="B135" s="2" t="s">
        <v>97</v>
      </c>
      <c r="C135" s="2" t="s">
        <v>98</v>
      </c>
      <c r="D135" s="5">
        <v>0</v>
      </c>
      <c r="E135" s="6">
        <v>0</v>
      </c>
      <c r="F135" s="5">
        <v>0</v>
      </c>
      <c r="G135" s="6">
        <v>0</v>
      </c>
      <c r="H135" s="5">
        <v>0</v>
      </c>
      <c r="I135" s="6">
        <v>0</v>
      </c>
      <c r="J135" s="5">
        <v>0</v>
      </c>
      <c r="K135" s="6">
        <v>0</v>
      </c>
      <c r="L135" s="5">
        <v>100</v>
      </c>
      <c r="M135" s="6">
        <v>93.49</v>
      </c>
      <c r="N135" s="5">
        <v>0</v>
      </c>
      <c r="O135" s="6">
        <v>0</v>
      </c>
      <c r="P135" s="5">
        <v>0</v>
      </c>
      <c r="Q135" s="6">
        <v>0</v>
      </c>
      <c r="R135" s="5">
        <v>0</v>
      </c>
      <c r="S135" s="6">
        <v>0</v>
      </c>
      <c r="T135" s="5">
        <v>0</v>
      </c>
      <c r="U135" s="6">
        <v>0</v>
      </c>
      <c r="V135" s="5">
        <v>0</v>
      </c>
      <c r="W135" s="6">
        <v>0</v>
      </c>
      <c r="X135" s="6">
        <f t="shared" si="7"/>
        <v>10</v>
      </c>
      <c r="Y135" s="6">
        <f t="shared" si="7"/>
        <v>9.35</v>
      </c>
    </row>
    <row r="136" spans="1:25" x14ac:dyDescent="0.25">
      <c r="A136" s="2" t="s">
        <v>96</v>
      </c>
      <c r="B136" s="2" t="s">
        <v>97</v>
      </c>
      <c r="C136" s="2" t="s">
        <v>99</v>
      </c>
      <c r="D136" s="5">
        <v>89</v>
      </c>
      <c r="E136" s="6">
        <v>88.18</v>
      </c>
      <c r="F136" s="5">
        <v>91</v>
      </c>
      <c r="G136" s="6">
        <v>85.58</v>
      </c>
      <c r="H136" s="5">
        <v>78</v>
      </c>
      <c r="I136" s="6">
        <v>71.83</v>
      </c>
      <c r="J136" s="5">
        <v>101</v>
      </c>
      <c r="K136" s="6">
        <v>94.05</v>
      </c>
      <c r="L136" s="5">
        <v>0</v>
      </c>
      <c r="M136" s="6">
        <v>0</v>
      </c>
      <c r="N136" s="5">
        <v>115</v>
      </c>
      <c r="O136" s="6">
        <v>109.07</v>
      </c>
      <c r="P136" s="5">
        <v>119</v>
      </c>
      <c r="Q136" s="6">
        <v>113.43</v>
      </c>
      <c r="R136" s="5">
        <v>117</v>
      </c>
      <c r="S136" s="6">
        <v>112.3</v>
      </c>
      <c r="T136" s="5">
        <v>130</v>
      </c>
      <c r="U136" s="6">
        <v>124.64</v>
      </c>
      <c r="V136" s="5">
        <v>129</v>
      </c>
      <c r="W136" s="6">
        <v>123.49</v>
      </c>
      <c r="X136" s="6">
        <f t="shared" si="7"/>
        <v>96.9</v>
      </c>
      <c r="Y136" s="6">
        <f t="shared" si="7"/>
        <v>92.26</v>
      </c>
    </row>
    <row r="137" spans="1:25" x14ac:dyDescent="0.25">
      <c r="A137" s="2" t="s">
        <v>547</v>
      </c>
      <c r="B137" s="2" t="s">
        <v>548</v>
      </c>
      <c r="C137" s="2" t="s">
        <v>549</v>
      </c>
      <c r="D137" s="5">
        <v>168</v>
      </c>
      <c r="E137" s="6">
        <v>156.1</v>
      </c>
      <c r="F137" s="5">
        <v>169</v>
      </c>
      <c r="G137" s="6">
        <v>157.09999999999997</v>
      </c>
      <c r="H137" s="5">
        <v>170</v>
      </c>
      <c r="I137" s="6">
        <v>158.1</v>
      </c>
      <c r="J137" s="5">
        <v>168</v>
      </c>
      <c r="K137" s="6">
        <v>156.1</v>
      </c>
      <c r="L137" s="5">
        <v>170</v>
      </c>
      <c r="M137" s="6">
        <v>157.91999999999996</v>
      </c>
      <c r="N137" s="5">
        <v>171</v>
      </c>
      <c r="O137" s="6">
        <v>158.41999999999999</v>
      </c>
      <c r="P137" s="5">
        <v>170</v>
      </c>
      <c r="Q137" s="6">
        <v>157.41999999999999</v>
      </c>
      <c r="R137" s="5">
        <v>171</v>
      </c>
      <c r="S137" s="6">
        <v>158.41999999999999</v>
      </c>
      <c r="T137" s="5">
        <v>167</v>
      </c>
      <c r="U137" s="6">
        <v>154.41999999999999</v>
      </c>
      <c r="V137" s="5">
        <v>167</v>
      </c>
      <c r="W137" s="6">
        <v>154.42000000000002</v>
      </c>
      <c r="X137" s="6">
        <f t="shared" si="7"/>
        <v>169.1</v>
      </c>
      <c r="Y137" s="6">
        <f t="shared" si="7"/>
        <v>156.84</v>
      </c>
    </row>
    <row r="138" spans="1:25" x14ac:dyDescent="0.25">
      <c r="A138" s="2" t="s">
        <v>674</v>
      </c>
      <c r="B138" s="2" t="s">
        <v>675</v>
      </c>
      <c r="C138" s="2" t="s">
        <v>124</v>
      </c>
      <c r="D138" s="5">
        <v>17</v>
      </c>
      <c r="E138" s="6">
        <v>5.76</v>
      </c>
      <c r="F138" s="5">
        <v>19</v>
      </c>
      <c r="G138" s="6">
        <v>6</v>
      </c>
      <c r="H138" s="5">
        <v>17</v>
      </c>
      <c r="I138" s="6">
        <v>4.8899999999999997</v>
      </c>
      <c r="J138" s="5">
        <v>17</v>
      </c>
      <c r="K138" s="6">
        <v>4.88</v>
      </c>
      <c r="L138" s="5">
        <v>17</v>
      </c>
      <c r="M138" s="6">
        <v>4.8899999999999997</v>
      </c>
      <c r="N138" s="5">
        <v>17</v>
      </c>
      <c r="O138" s="6">
        <v>6.52</v>
      </c>
      <c r="P138" s="5">
        <v>18</v>
      </c>
      <c r="Q138" s="6">
        <v>5.5</v>
      </c>
      <c r="R138" s="5">
        <v>19</v>
      </c>
      <c r="S138" s="6">
        <v>6.25</v>
      </c>
      <c r="T138" s="5">
        <v>19</v>
      </c>
      <c r="U138" s="6">
        <v>6.75</v>
      </c>
      <c r="V138" s="5">
        <v>20</v>
      </c>
      <c r="W138" s="6">
        <v>7.25</v>
      </c>
      <c r="X138" s="6">
        <f t="shared" si="7"/>
        <v>18</v>
      </c>
      <c r="Y138" s="6">
        <f t="shared" si="7"/>
        <v>5.87</v>
      </c>
    </row>
    <row r="139" spans="1:25" x14ac:dyDescent="0.25">
      <c r="A139" s="2" t="s">
        <v>601</v>
      </c>
      <c r="B139" s="2" t="s">
        <v>602</v>
      </c>
      <c r="C139" s="2" t="s">
        <v>603</v>
      </c>
      <c r="D139" s="5">
        <v>417</v>
      </c>
      <c r="E139" s="6">
        <v>387.41999999999996</v>
      </c>
      <c r="F139" s="5">
        <v>426</v>
      </c>
      <c r="G139" s="6">
        <v>391.36999999999995</v>
      </c>
      <c r="H139" s="5">
        <v>432</v>
      </c>
      <c r="I139" s="6">
        <v>395.28999999999996</v>
      </c>
      <c r="J139" s="5">
        <v>429</v>
      </c>
      <c r="K139" s="6">
        <v>394.39</v>
      </c>
      <c r="L139" s="5">
        <v>427</v>
      </c>
      <c r="M139" s="6">
        <v>393.38999999999993</v>
      </c>
      <c r="N139" s="5">
        <v>441</v>
      </c>
      <c r="O139" s="6">
        <v>405.51000000000005</v>
      </c>
      <c r="P139" s="5">
        <v>439</v>
      </c>
      <c r="Q139" s="6">
        <v>402.65999999999997</v>
      </c>
      <c r="R139" s="5">
        <v>435</v>
      </c>
      <c r="S139" s="6">
        <v>399.20000000000005</v>
      </c>
      <c r="T139" s="5">
        <v>434</v>
      </c>
      <c r="U139" s="6">
        <v>398.2</v>
      </c>
      <c r="V139" s="5">
        <v>434</v>
      </c>
      <c r="W139" s="6">
        <v>398.36999999999995</v>
      </c>
      <c r="X139" s="6">
        <f t="shared" si="7"/>
        <v>431.4</v>
      </c>
      <c r="Y139" s="6">
        <f t="shared" si="7"/>
        <v>396.58</v>
      </c>
    </row>
    <row r="140" spans="1:25" x14ac:dyDescent="0.25">
      <c r="A140" s="2" t="s">
        <v>318</v>
      </c>
      <c r="B140" s="2" t="s">
        <v>319</v>
      </c>
      <c r="C140" s="2" t="s">
        <v>320</v>
      </c>
      <c r="D140" s="5">
        <v>444</v>
      </c>
      <c r="E140" s="6">
        <v>444</v>
      </c>
      <c r="F140" s="5">
        <v>605</v>
      </c>
      <c r="G140" s="6">
        <v>605</v>
      </c>
      <c r="H140" s="5">
        <v>622</v>
      </c>
      <c r="I140" s="6">
        <v>622</v>
      </c>
      <c r="J140" s="5">
        <v>596</v>
      </c>
      <c r="K140" s="6">
        <v>596</v>
      </c>
      <c r="L140" s="5">
        <v>562</v>
      </c>
      <c r="M140" s="6">
        <v>562</v>
      </c>
      <c r="N140" s="5">
        <v>569</v>
      </c>
      <c r="O140" s="6">
        <v>569</v>
      </c>
      <c r="P140" s="5">
        <v>601</v>
      </c>
      <c r="Q140" s="6">
        <v>601</v>
      </c>
      <c r="R140" s="5">
        <v>586</v>
      </c>
      <c r="S140" s="6">
        <v>586</v>
      </c>
      <c r="T140" s="5">
        <v>571</v>
      </c>
      <c r="U140" s="6">
        <v>571</v>
      </c>
      <c r="V140" s="5">
        <v>567</v>
      </c>
      <c r="W140" s="6">
        <v>566</v>
      </c>
      <c r="X140" s="6">
        <f t="shared" si="7"/>
        <v>572.29999999999995</v>
      </c>
      <c r="Y140" s="6">
        <f t="shared" si="7"/>
        <v>572.20000000000005</v>
      </c>
    </row>
    <row r="141" spans="1:25" x14ac:dyDescent="0.25">
      <c r="A141" s="2" t="s">
        <v>550</v>
      </c>
      <c r="B141" s="2" t="s">
        <v>551</v>
      </c>
      <c r="C141" s="2" t="s">
        <v>552</v>
      </c>
      <c r="D141" s="5">
        <v>69</v>
      </c>
      <c r="E141" s="6">
        <v>63.14</v>
      </c>
      <c r="F141" s="5">
        <v>75</v>
      </c>
      <c r="G141" s="6">
        <v>69.14</v>
      </c>
      <c r="H141" s="5">
        <v>77</v>
      </c>
      <c r="I141" s="6">
        <v>72.47999999999999</v>
      </c>
      <c r="J141" s="5">
        <v>83</v>
      </c>
      <c r="K141" s="6">
        <v>76.66</v>
      </c>
      <c r="L141" s="5">
        <v>81</v>
      </c>
      <c r="M141" s="6">
        <v>75.16</v>
      </c>
      <c r="N141" s="5">
        <v>87</v>
      </c>
      <c r="O141" s="6">
        <v>79.14</v>
      </c>
      <c r="P141" s="5">
        <v>90</v>
      </c>
      <c r="Q141" s="6">
        <v>81.3</v>
      </c>
      <c r="R141" s="5">
        <v>91</v>
      </c>
      <c r="S141" s="6">
        <v>82.96</v>
      </c>
      <c r="T141" s="5">
        <v>94</v>
      </c>
      <c r="U141" s="6">
        <v>85.96</v>
      </c>
      <c r="V141" s="5">
        <v>94</v>
      </c>
      <c r="W141" s="6">
        <v>85.96</v>
      </c>
      <c r="X141" s="6">
        <f t="shared" si="7"/>
        <v>84.1</v>
      </c>
      <c r="Y141" s="6">
        <f t="shared" si="7"/>
        <v>77.19</v>
      </c>
    </row>
    <row r="142" spans="1:25" x14ac:dyDescent="0.25">
      <c r="A142" s="2" t="s">
        <v>445</v>
      </c>
      <c r="B142" s="2" t="s">
        <v>446</v>
      </c>
      <c r="C142" s="2" t="s">
        <v>79</v>
      </c>
      <c r="D142" s="5">
        <v>0</v>
      </c>
      <c r="E142" s="6">
        <v>0</v>
      </c>
      <c r="F142" s="5">
        <v>12</v>
      </c>
      <c r="G142" s="6">
        <v>4.43</v>
      </c>
      <c r="H142" s="5">
        <v>12</v>
      </c>
      <c r="I142" s="6">
        <v>4.8099999999999996</v>
      </c>
      <c r="J142" s="5">
        <v>12</v>
      </c>
      <c r="K142" s="6">
        <v>4.59</v>
      </c>
      <c r="L142" s="5">
        <v>13</v>
      </c>
      <c r="M142" s="6">
        <v>5.22</v>
      </c>
      <c r="N142" s="5">
        <v>11</v>
      </c>
      <c r="O142" s="6">
        <v>5.54</v>
      </c>
      <c r="P142" s="5">
        <v>19</v>
      </c>
      <c r="Q142" s="6">
        <v>9.44</v>
      </c>
      <c r="R142" s="5">
        <v>33</v>
      </c>
      <c r="S142" s="6">
        <v>21.88</v>
      </c>
      <c r="T142" s="5">
        <v>29</v>
      </c>
      <c r="U142" s="6">
        <v>17.88</v>
      </c>
      <c r="V142" s="5">
        <v>17</v>
      </c>
      <c r="W142" s="6">
        <v>13.75</v>
      </c>
      <c r="X142" s="6">
        <f t="shared" si="7"/>
        <v>15.8</v>
      </c>
      <c r="Y142" s="6">
        <f t="shared" si="7"/>
        <v>8.75</v>
      </c>
    </row>
    <row r="143" spans="1:25" x14ac:dyDescent="0.25">
      <c r="A143" s="2" t="s">
        <v>445</v>
      </c>
      <c r="B143" s="2" t="s">
        <v>446</v>
      </c>
      <c r="C143" s="2" t="s">
        <v>447</v>
      </c>
      <c r="D143" s="5">
        <v>17</v>
      </c>
      <c r="E143" s="6">
        <v>16.5</v>
      </c>
      <c r="F143" s="5">
        <v>19</v>
      </c>
      <c r="G143" s="6">
        <v>18.5</v>
      </c>
      <c r="H143" s="5">
        <v>19</v>
      </c>
      <c r="I143" s="6">
        <v>18.5</v>
      </c>
      <c r="J143" s="5">
        <v>22</v>
      </c>
      <c r="K143" s="6">
        <v>21.63</v>
      </c>
      <c r="L143" s="5">
        <v>21</v>
      </c>
      <c r="M143" s="6">
        <v>20.63</v>
      </c>
      <c r="N143" s="5">
        <v>23</v>
      </c>
      <c r="O143" s="6">
        <v>22.63</v>
      </c>
      <c r="P143" s="5">
        <v>23</v>
      </c>
      <c r="Q143" s="6">
        <v>22.63</v>
      </c>
      <c r="R143" s="5">
        <v>23</v>
      </c>
      <c r="S143" s="6">
        <v>22.61</v>
      </c>
      <c r="T143" s="5">
        <v>23</v>
      </c>
      <c r="U143" s="6">
        <v>22.61</v>
      </c>
      <c r="V143" s="5">
        <v>23</v>
      </c>
      <c r="W143" s="6">
        <v>22.61</v>
      </c>
      <c r="X143" s="6">
        <f t="shared" si="7"/>
        <v>21.3</v>
      </c>
      <c r="Y143" s="6">
        <f t="shared" si="7"/>
        <v>20.89</v>
      </c>
    </row>
    <row r="144" spans="1:25" x14ac:dyDescent="0.25">
      <c r="A144" s="2" t="s">
        <v>495</v>
      </c>
      <c r="B144" s="2" t="s">
        <v>496</v>
      </c>
      <c r="C144" s="2" t="s">
        <v>497</v>
      </c>
      <c r="D144" s="5">
        <v>2</v>
      </c>
      <c r="E144" s="6">
        <v>2</v>
      </c>
      <c r="F144" s="5">
        <v>2</v>
      </c>
      <c r="G144" s="6">
        <v>2</v>
      </c>
      <c r="H144" s="5">
        <v>4</v>
      </c>
      <c r="I144" s="6">
        <v>4</v>
      </c>
      <c r="J144" s="5">
        <v>8</v>
      </c>
      <c r="K144" s="6">
        <v>8</v>
      </c>
      <c r="L144" s="5">
        <v>8</v>
      </c>
      <c r="M144" s="6">
        <v>8</v>
      </c>
      <c r="N144" s="5">
        <v>13</v>
      </c>
      <c r="O144" s="6">
        <v>13</v>
      </c>
      <c r="P144" s="5">
        <v>1</v>
      </c>
      <c r="Q144" s="6">
        <v>1</v>
      </c>
      <c r="R144" s="5">
        <v>1</v>
      </c>
      <c r="S144" s="6">
        <v>1</v>
      </c>
      <c r="T144" s="5">
        <v>1</v>
      </c>
      <c r="U144" s="6">
        <v>1</v>
      </c>
      <c r="V144" s="5">
        <v>1</v>
      </c>
      <c r="W144" s="6">
        <v>1</v>
      </c>
      <c r="X144" s="6">
        <f t="shared" si="7"/>
        <v>4.0999999999999996</v>
      </c>
      <c r="Y144" s="6">
        <f t="shared" si="7"/>
        <v>4.0999999999999996</v>
      </c>
    </row>
    <row r="145" spans="1:25" x14ac:dyDescent="0.25">
      <c r="A145" s="2" t="s">
        <v>495</v>
      </c>
      <c r="B145" s="2" t="s">
        <v>496</v>
      </c>
      <c r="C145" s="2" t="s">
        <v>498</v>
      </c>
      <c r="D145" s="5">
        <v>20</v>
      </c>
      <c r="E145" s="6">
        <v>20</v>
      </c>
      <c r="F145" s="5">
        <v>24</v>
      </c>
      <c r="G145" s="6">
        <v>24</v>
      </c>
      <c r="H145" s="5">
        <v>36</v>
      </c>
      <c r="I145" s="6">
        <v>36</v>
      </c>
      <c r="J145" s="5">
        <v>46</v>
      </c>
      <c r="K145" s="6">
        <v>46</v>
      </c>
      <c r="L145" s="5">
        <v>48</v>
      </c>
      <c r="M145" s="6">
        <v>48</v>
      </c>
      <c r="N145" s="5">
        <v>62</v>
      </c>
      <c r="O145" s="6">
        <v>62</v>
      </c>
      <c r="P145" s="5">
        <v>12</v>
      </c>
      <c r="Q145" s="6">
        <v>12</v>
      </c>
      <c r="R145" s="5">
        <v>9</v>
      </c>
      <c r="S145" s="6">
        <v>9</v>
      </c>
      <c r="T145" s="5">
        <v>7</v>
      </c>
      <c r="U145" s="6">
        <v>7</v>
      </c>
      <c r="V145" s="5">
        <v>4</v>
      </c>
      <c r="W145" s="6">
        <v>4</v>
      </c>
      <c r="X145" s="6">
        <f t="shared" si="7"/>
        <v>26.8</v>
      </c>
      <c r="Y145" s="6">
        <f t="shared" si="7"/>
        <v>26.8</v>
      </c>
    </row>
    <row r="146" spans="1:25" x14ac:dyDescent="0.25">
      <c r="A146" s="2" t="s">
        <v>495</v>
      </c>
      <c r="B146" s="2" t="s">
        <v>496</v>
      </c>
      <c r="C146" s="2" t="s">
        <v>499</v>
      </c>
      <c r="D146" s="5">
        <v>824</v>
      </c>
      <c r="E146" s="6">
        <v>722.15999999999985</v>
      </c>
      <c r="F146" s="5">
        <v>836</v>
      </c>
      <c r="G146" s="6">
        <v>726.18999999999983</v>
      </c>
      <c r="H146" s="5">
        <v>832</v>
      </c>
      <c r="I146" s="6">
        <v>721.7199999999998</v>
      </c>
      <c r="J146" s="5">
        <v>830</v>
      </c>
      <c r="K146" s="6">
        <v>713.36</v>
      </c>
      <c r="L146" s="5">
        <v>822</v>
      </c>
      <c r="M146" s="6">
        <v>705.33999999999992</v>
      </c>
      <c r="N146" s="5">
        <v>833</v>
      </c>
      <c r="O146" s="6">
        <v>713.8</v>
      </c>
      <c r="P146" s="5">
        <v>836</v>
      </c>
      <c r="Q146" s="6">
        <v>714.9699999999998</v>
      </c>
      <c r="R146" s="5">
        <v>851</v>
      </c>
      <c r="S146" s="6">
        <v>727.68999999999994</v>
      </c>
      <c r="T146" s="5">
        <v>862</v>
      </c>
      <c r="U146" s="6">
        <v>739.71999999999991</v>
      </c>
      <c r="V146" s="5">
        <v>858</v>
      </c>
      <c r="W146" s="6">
        <v>736.58</v>
      </c>
      <c r="X146" s="6">
        <f t="shared" si="7"/>
        <v>838.4</v>
      </c>
      <c r="Y146" s="6">
        <f t="shared" si="7"/>
        <v>722.15</v>
      </c>
    </row>
    <row r="147" spans="1:25" x14ac:dyDescent="0.25">
      <c r="A147" s="2" t="s">
        <v>495</v>
      </c>
      <c r="B147" s="2" t="s">
        <v>496</v>
      </c>
      <c r="C147" s="2" t="s">
        <v>500</v>
      </c>
      <c r="D147" s="5">
        <v>50</v>
      </c>
      <c r="E147" s="6">
        <v>38.32</v>
      </c>
      <c r="F147" s="5">
        <v>60</v>
      </c>
      <c r="G147" s="6">
        <v>41.49</v>
      </c>
      <c r="H147" s="5">
        <v>66</v>
      </c>
      <c r="I147" s="6">
        <v>46.33</v>
      </c>
      <c r="J147" s="5">
        <v>70</v>
      </c>
      <c r="K147" s="6">
        <v>49.83</v>
      </c>
      <c r="L147" s="5">
        <v>74</v>
      </c>
      <c r="M147" s="6">
        <v>52.49</v>
      </c>
      <c r="N147" s="5">
        <v>78</v>
      </c>
      <c r="O147" s="6">
        <v>54.19</v>
      </c>
      <c r="P147" s="5">
        <v>99</v>
      </c>
      <c r="Q147" s="6">
        <v>72.709999999999994</v>
      </c>
      <c r="R147" s="5">
        <v>98</v>
      </c>
      <c r="S147" s="6">
        <v>70.040000000000006</v>
      </c>
      <c r="T147" s="5">
        <v>98</v>
      </c>
      <c r="U147" s="6">
        <v>70.709999999999994</v>
      </c>
      <c r="V147" s="5">
        <v>99</v>
      </c>
      <c r="W147" s="6">
        <v>71.709999999999994</v>
      </c>
      <c r="X147" s="6">
        <f t="shared" si="7"/>
        <v>79.2</v>
      </c>
      <c r="Y147" s="6">
        <f t="shared" si="7"/>
        <v>56.78</v>
      </c>
    </row>
    <row r="148" spans="1:25" x14ac:dyDescent="0.25">
      <c r="A148" s="2" t="s">
        <v>495</v>
      </c>
      <c r="B148" s="2" t="s">
        <v>496</v>
      </c>
      <c r="C148" s="2" t="s">
        <v>501</v>
      </c>
      <c r="D148" s="5">
        <v>0</v>
      </c>
      <c r="E148" s="6">
        <v>0</v>
      </c>
      <c r="F148" s="5">
        <v>1</v>
      </c>
      <c r="G148" s="6">
        <v>0.18</v>
      </c>
      <c r="H148" s="5">
        <v>0</v>
      </c>
      <c r="I148" s="6">
        <v>0</v>
      </c>
      <c r="J148" s="5">
        <v>0</v>
      </c>
      <c r="K148" s="6">
        <v>0</v>
      </c>
      <c r="L148" s="5">
        <v>0</v>
      </c>
      <c r="M148" s="6">
        <v>0</v>
      </c>
      <c r="N148" s="5">
        <v>0</v>
      </c>
      <c r="O148" s="6">
        <v>0</v>
      </c>
      <c r="P148" s="5">
        <v>33</v>
      </c>
      <c r="Q148" s="6">
        <v>31.14</v>
      </c>
      <c r="R148" s="5">
        <v>48</v>
      </c>
      <c r="S148" s="6">
        <v>46.48</v>
      </c>
      <c r="T148" s="5">
        <v>50</v>
      </c>
      <c r="U148" s="6">
        <v>48.16</v>
      </c>
      <c r="V148" s="5">
        <v>50</v>
      </c>
      <c r="W148" s="6">
        <v>48.66</v>
      </c>
      <c r="X148" s="6">
        <f t="shared" si="7"/>
        <v>18.2</v>
      </c>
      <c r="Y148" s="6">
        <f t="shared" si="7"/>
        <v>17.46</v>
      </c>
    </row>
    <row r="149" spans="1:25" x14ac:dyDescent="0.25">
      <c r="A149" s="2" t="s">
        <v>492</v>
      </c>
      <c r="B149" s="2" t="s">
        <v>493</v>
      </c>
      <c r="C149" s="2" t="s">
        <v>494</v>
      </c>
      <c r="D149" s="5">
        <v>31</v>
      </c>
      <c r="E149" s="6">
        <v>24.85</v>
      </c>
      <c r="F149" s="5">
        <v>42</v>
      </c>
      <c r="G149" s="6">
        <v>34.1</v>
      </c>
      <c r="H149" s="5">
        <v>53</v>
      </c>
      <c r="I149" s="6">
        <v>43.980000000000004</v>
      </c>
      <c r="J149" s="5">
        <v>57</v>
      </c>
      <c r="K149" s="6">
        <v>48.35</v>
      </c>
      <c r="L149" s="5">
        <v>60</v>
      </c>
      <c r="M149" s="6">
        <v>51.480000000000004</v>
      </c>
      <c r="N149" s="5">
        <v>72</v>
      </c>
      <c r="O149" s="6">
        <v>60.82</v>
      </c>
      <c r="P149" s="5">
        <v>79</v>
      </c>
      <c r="Q149" s="6">
        <v>65.63</v>
      </c>
      <c r="R149" s="5">
        <v>86</v>
      </c>
      <c r="S149" s="6">
        <v>70.98</v>
      </c>
      <c r="T149" s="5">
        <v>87</v>
      </c>
      <c r="U149" s="6">
        <v>70.62</v>
      </c>
      <c r="V149" s="5">
        <v>91</v>
      </c>
      <c r="W149" s="6">
        <v>73.92</v>
      </c>
      <c r="X149" s="6">
        <f t="shared" si="7"/>
        <v>65.8</v>
      </c>
      <c r="Y149" s="6">
        <f t="shared" si="7"/>
        <v>54.47</v>
      </c>
    </row>
    <row r="150" spans="1:25" x14ac:dyDescent="0.25">
      <c r="A150" s="2" t="s">
        <v>676</v>
      </c>
      <c r="B150" s="2" t="s">
        <v>677</v>
      </c>
      <c r="C150" s="2" t="s">
        <v>199</v>
      </c>
      <c r="D150" s="5">
        <v>61</v>
      </c>
      <c r="E150" s="6">
        <v>10.08</v>
      </c>
      <c r="F150" s="5">
        <v>109</v>
      </c>
      <c r="G150" s="6">
        <v>18.72</v>
      </c>
      <c r="H150" s="5">
        <v>116</v>
      </c>
      <c r="I150" s="6">
        <v>20.16</v>
      </c>
      <c r="J150" s="5">
        <v>118</v>
      </c>
      <c r="K150" s="6">
        <v>20.64</v>
      </c>
      <c r="L150" s="5">
        <v>119</v>
      </c>
      <c r="M150" s="6">
        <v>21.12</v>
      </c>
      <c r="N150" s="5">
        <v>98</v>
      </c>
      <c r="O150" s="6">
        <v>17.12</v>
      </c>
      <c r="P150" s="5">
        <v>153</v>
      </c>
      <c r="Q150" s="6">
        <v>28</v>
      </c>
      <c r="R150" s="5">
        <v>153</v>
      </c>
      <c r="S150" s="6">
        <v>28.48</v>
      </c>
      <c r="T150" s="5">
        <v>153</v>
      </c>
      <c r="U150" s="6">
        <v>29.44</v>
      </c>
      <c r="V150" s="5">
        <v>153</v>
      </c>
      <c r="W150" s="6">
        <v>29.6</v>
      </c>
      <c r="X150" s="6">
        <f t="shared" si="7"/>
        <v>123.3</v>
      </c>
      <c r="Y150" s="6">
        <f t="shared" si="7"/>
        <v>22.34</v>
      </c>
    </row>
    <row r="151" spans="1:25" x14ac:dyDescent="0.25">
      <c r="A151" s="2" t="s">
        <v>604</v>
      </c>
      <c r="B151" s="2" t="s">
        <v>605</v>
      </c>
      <c r="C151" s="2" t="s">
        <v>606</v>
      </c>
      <c r="D151" s="5">
        <v>208</v>
      </c>
      <c r="E151" s="6">
        <v>208</v>
      </c>
      <c r="F151" s="5">
        <v>209</v>
      </c>
      <c r="G151" s="6">
        <v>208.95</v>
      </c>
      <c r="H151" s="5">
        <v>208</v>
      </c>
      <c r="I151" s="6">
        <v>207.95</v>
      </c>
      <c r="J151" s="5">
        <v>216</v>
      </c>
      <c r="K151" s="6">
        <v>215.95</v>
      </c>
      <c r="L151" s="5">
        <v>220</v>
      </c>
      <c r="M151" s="6">
        <v>219.95</v>
      </c>
      <c r="N151" s="5">
        <v>217</v>
      </c>
      <c r="O151" s="6">
        <v>216.95</v>
      </c>
      <c r="P151" s="5">
        <v>218</v>
      </c>
      <c r="Q151" s="6">
        <v>217.95</v>
      </c>
      <c r="R151" s="5">
        <v>217</v>
      </c>
      <c r="S151" s="6">
        <v>216.95</v>
      </c>
      <c r="T151" s="5">
        <v>215</v>
      </c>
      <c r="U151" s="6">
        <v>214.95</v>
      </c>
      <c r="V151" s="5">
        <v>213</v>
      </c>
      <c r="W151" s="6">
        <v>212.95</v>
      </c>
      <c r="X151" s="6">
        <f t="shared" si="7"/>
        <v>214.1</v>
      </c>
      <c r="Y151" s="6">
        <f t="shared" si="7"/>
        <v>214.06</v>
      </c>
    </row>
    <row r="152" spans="1:25" x14ac:dyDescent="0.25">
      <c r="A152" s="2" t="s">
        <v>341</v>
      </c>
      <c r="B152" s="2" t="s">
        <v>342</v>
      </c>
      <c r="C152" s="2" t="s">
        <v>343</v>
      </c>
      <c r="D152" s="5">
        <v>35</v>
      </c>
      <c r="E152" s="6">
        <v>26.66</v>
      </c>
      <c r="F152" s="5">
        <v>34</v>
      </c>
      <c r="G152" s="6">
        <v>26.1</v>
      </c>
      <c r="H152" s="5">
        <v>36</v>
      </c>
      <c r="I152" s="6">
        <v>27.97</v>
      </c>
      <c r="J152" s="5">
        <v>36</v>
      </c>
      <c r="K152" s="6">
        <v>27.97</v>
      </c>
      <c r="L152" s="5">
        <v>35</v>
      </c>
      <c r="M152" s="6">
        <v>26.97</v>
      </c>
      <c r="N152" s="5">
        <v>35</v>
      </c>
      <c r="O152" s="6">
        <v>26.73</v>
      </c>
      <c r="P152" s="5">
        <v>37</v>
      </c>
      <c r="Q152" s="6">
        <v>27.73</v>
      </c>
      <c r="R152" s="5">
        <v>40</v>
      </c>
      <c r="S152" s="6">
        <v>31.97</v>
      </c>
      <c r="T152" s="5">
        <v>41</v>
      </c>
      <c r="U152" s="6">
        <v>32.97</v>
      </c>
      <c r="V152" s="5">
        <v>41</v>
      </c>
      <c r="W152" s="6">
        <v>32.97</v>
      </c>
      <c r="X152" s="6">
        <f t="shared" si="7"/>
        <v>37</v>
      </c>
      <c r="Y152" s="6">
        <f t="shared" si="7"/>
        <v>28.8</v>
      </c>
    </row>
    <row r="153" spans="1:25" x14ac:dyDescent="0.25">
      <c r="A153" s="2" t="s">
        <v>448</v>
      </c>
      <c r="B153" s="2" t="s">
        <v>449</v>
      </c>
      <c r="C153" s="2" t="s">
        <v>450</v>
      </c>
      <c r="D153" s="5">
        <v>33</v>
      </c>
      <c r="E153" s="6">
        <v>28.36</v>
      </c>
      <c r="F153" s="5">
        <v>39</v>
      </c>
      <c r="G153" s="6">
        <v>34.29</v>
      </c>
      <c r="H153" s="5">
        <v>40</v>
      </c>
      <c r="I153" s="6">
        <v>34.61</v>
      </c>
      <c r="J153" s="5">
        <v>40</v>
      </c>
      <c r="K153" s="6">
        <v>35.29</v>
      </c>
      <c r="L153" s="5">
        <v>42</v>
      </c>
      <c r="M153" s="6">
        <v>36.25</v>
      </c>
      <c r="N153" s="5">
        <v>56</v>
      </c>
      <c r="O153" s="6">
        <v>42.76</v>
      </c>
      <c r="P153" s="5">
        <v>64</v>
      </c>
      <c r="Q153" s="6">
        <v>49.73</v>
      </c>
      <c r="R153" s="5">
        <v>69</v>
      </c>
      <c r="S153" s="6">
        <v>53.589999999999996</v>
      </c>
      <c r="T153" s="5">
        <v>72</v>
      </c>
      <c r="U153" s="6">
        <v>54.87</v>
      </c>
      <c r="V153" s="5">
        <v>73</v>
      </c>
      <c r="W153" s="6">
        <v>53.290000000000006</v>
      </c>
      <c r="X153" s="6">
        <f t="shared" si="7"/>
        <v>52.8</v>
      </c>
      <c r="Y153" s="6">
        <f t="shared" si="7"/>
        <v>42.3</v>
      </c>
    </row>
    <row r="154" spans="1:25" x14ac:dyDescent="0.25">
      <c r="A154" s="2" t="s">
        <v>448</v>
      </c>
      <c r="B154" s="2" t="s">
        <v>449</v>
      </c>
      <c r="C154" s="2" t="s">
        <v>451</v>
      </c>
      <c r="D154" s="5">
        <v>984</v>
      </c>
      <c r="E154" s="6">
        <v>872.93</v>
      </c>
      <c r="F154" s="5">
        <v>980</v>
      </c>
      <c r="G154" s="6">
        <v>869.67000000000007</v>
      </c>
      <c r="H154" s="5">
        <v>1001</v>
      </c>
      <c r="I154" s="6">
        <v>882.61</v>
      </c>
      <c r="J154" s="5">
        <v>1013</v>
      </c>
      <c r="K154" s="6">
        <v>889.96999999999991</v>
      </c>
      <c r="L154" s="5">
        <v>1022</v>
      </c>
      <c r="M154" s="6">
        <v>893.39999999999986</v>
      </c>
      <c r="N154" s="5">
        <v>1011</v>
      </c>
      <c r="O154" s="6">
        <v>877.53000000000009</v>
      </c>
      <c r="P154" s="5">
        <v>1021</v>
      </c>
      <c r="Q154" s="6">
        <v>885.62999999999988</v>
      </c>
      <c r="R154" s="5">
        <v>1022</v>
      </c>
      <c r="S154" s="6">
        <v>886.43</v>
      </c>
      <c r="T154" s="5">
        <v>1024</v>
      </c>
      <c r="U154" s="6">
        <v>887.13</v>
      </c>
      <c r="V154" s="5">
        <v>1013</v>
      </c>
      <c r="W154" s="6">
        <v>875.23</v>
      </c>
      <c r="X154" s="6">
        <f t="shared" si="7"/>
        <v>1009.1</v>
      </c>
      <c r="Y154" s="6">
        <f t="shared" si="7"/>
        <v>882.05</v>
      </c>
    </row>
    <row r="155" spans="1:25" x14ac:dyDescent="0.25">
      <c r="A155" s="2" t="s">
        <v>288</v>
      </c>
      <c r="B155" s="2" t="s">
        <v>289</v>
      </c>
      <c r="C155" s="2" t="s">
        <v>121</v>
      </c>
      <c r="D155" s="5">
        <v>0</v>
      </c>
      <c r="E155" s="6">
        <v>0</v>
      </c>
      <c r="F155" s="5">
        <v>5</v>
      </c>
      <c r="G155" s="6">
        <v>3.3</v>
      </c>
      <c r="H155" s="5">
        <v>7</v>
      </c>
      <c r="I155" s="6">
        <v>2.92</v>
      </c>
      <c r="J155" s="5">
        <v>8</v>
      </c>
      <c r="K155" s="6">
        <v>3.61</v>
      </c>
      <c r="L155" s="5">
        <v>6</v>
      </c>
      <c r="M155" s="6">
        <v>2.59</v>
      </c>
      <c r="N155" s="5">
        <v>10</v>
      </c>
      <c r="O155" s="6">
        <v>4.3</v>
      </c>
      <c r="P155" s="5">
        <v>8</v>
      </c>
      <c r="Q155" s="6">
        <v>3.06</v>
      </c>
      <c r="R155" s="5">
        <v>12</v>
      </c>
      <c r="S155" s="6">
        <v>4.79</v>
      </c>
      <c r="T155" s="5">
        <v>13</v>
      </c>
      <c r="U155" s="6">
        <v>5.94</v>
      </c>
      <c r="V155" s="5">
        <v>14</v>
      </c>
      <c r="W155" s="6">
        <v>6.96</v>
      </c>
      <c r="X155" s="6">
        <f t="shared" si="7"/>
        <v>8.3000000000000007</v>
      </c>
      <c r="Y155" s="6">
        <f t="shared" si="7"/>
        <v>3.75</v>
      </c>
    </row>
    <row r="156" spans="1:25" x14ac:dyDescent="0.25">
      <c r="A156" s="2" t="s">
        <v>140</v>
      </c>
      <c r="B156" s="2" t="s">
        <v>141</v>
      </c>
      <c r="C156" s="2" t="s">
        <v>142</v>
      </c>
      <c r="D156" s="5">
        <v>337</v>
      </c>
      <c r="E156" s="6">
        <v>315.87</v>
      </c>
      <c r="F156" s="5">
        <v>377</v>
      </c>
      <c r="G156" s="6">
        <v>338.35999999999996</v>
      </c>
      <c r="H156" s="5">
        <v>394</v>
      </c>
      <c r="I156" s="6">
        <v>350.26</v>
      </c>
      <c r="J156" s="5">
        <v>433</v>
      </c>
      <c r="K156" s="6">
        <v>386.66999999999996</v>
      </c>
      <c r="L156" s="5">
        <v>429</v>
      </c>
      <c r="M156" s="6">
        <v>378.9</v>
      </c>
      <c r="N156" s="5">
        <v>429</v>
      </c>
      <c r="O156" s="6">
        <v>383.97999999999996</v>
      </c>
      <c r="P156" s="5">
        <v>432</v>
      </c>
      <c r="Q156" s="6">
        <v>384.02</v>
      </c>
      <c r="R156" s="5">
        <v>436</v>
      </c>
      <c r="S156" s="6">
        <v>389.90999999999997</v>
      </c>
      <c r="T156" s="5">
        <v>427</v>
      </c>
      <c r="U156" s="6">
        <v>382.14</v>
      </c>
      <c r="V156" s="5">
        <v>415</v>
      </c>
      <c r="W156" s="6">
        <v>370.32</v>
      </c>
      <c r="X156" s="6">
        <f t="shared" si="7"/>
        <v>410.9</v>
      </c>
      <c r="Y156" s="6">
        <f t="shared" si="7"/>
        <v>368.04</v>
      </c>
    </row>
    <row r="157" spans="1:25" x14ac:dyDescent="0.25">
      <c r="A157" s="2" t="s">
        <v>285</v>
      </c>
      <c r="B157" s="2" t="s">
        <v>286</v>
      </c>
      <c r="C157" s="2" t="s">
        <v>287</v>
      </c>
      <c r="D157" s="5">
        <v>15</v>
      </c>
      <c r="E157" s="6">
        <v>10.57</v>
      </c>
      <c r="F157" s="5">
        <v>16</v>
      </c>
      <c r="G157" s="6">
        <v>11.14</v>
      </c>
      <c r="H157" s="5">
        <v>15</v>
      </c>
      <c r="I157" s="6">
        <v>10.57</v>
      </c>
      <c r="J157" s="5">
        <v>15</v>
      </c>
      <c r="K157" s="6">
        <v>10.57</v>
      </c>
      <c r="L157" s="5">
        <v>13</v>
      </c>
      <c r="M157" s="6">
        <v>9</v>
      </c>
      <c r="N157" s="5">
        <v>13</v>
      </c>
      <c r="O157" s="6">
        <v>9.57</v>
      </c>
      <c r="P157" s="5">
        <v>13</v>
      </c>
      <c r="Q157" s="6">
        <v>9.57</v>
      </c>
      <c r="R157" s="5">
        <v>13</v>
      </c>
      <c r="S157" s="6">
        <v>9.57</v>
      </c>
      <c r="T157" s="5">
        <v>13</v>
      </c>
      <c r="U157" s="6">
        <v>9.57</v>
      </c>
      <c r="V157" s="5">
        <v>13</v>
      </c>
      <c r="W157" s="6">
        <v>9.57</v>
      </c>
      <c r="X157" s="6">
        <f t="shared" si="7"/>
        <v>13.9</v>
      </c>
      <c r="Y157" s="6">
        <f t="shared" si="7"/>
        <v>9.9700000000000006</v>
      </c>
    </row>
    <row r="158" spans="1:25" x14ac:dyDescent="0.25">
      <c r="A158" s="2" t="s">
        <v>648</v>
      </c>
      <c r="B158" s="2" t="s">
        <v>649</v>
      </c>
      <c r="C158" s="2" t="s">
        <v>650</v>
      </c>
      <c r="D158" s="5">
        <v>2</v>
      </c>
      <c r="E158" s="6">
        <v>2</v>
      </c>
      <c r="F158" s="5">
        <v>3</v>
      </c>
      <c r="G158" s="6">
        <v>3</v>
      </c>
      <c r="H158" s="5">
        <v>3</v>
      </c>
      <c r="I158" s="6">
        <v>3</v>
      </c>
      <c r="J158" s="5">
        <v>3</v>
      </c>
      <c r="K158" s="6">
        <v>3</v>
      </c>
      <c r="L158" s="5">
        <v>2</v>
      </c>
      <c r="M158" s="6">
        <v>2</v>
      </c>
      <c r="N158" s="5">
        <v>2</v>
      </c>
      <c r="O158" s="6">
        <v>2</v>
      </c>
      <c r="P158" s="5">
        <v>2</v>
      </c>
      <c r="Q158" s="6">
        <v>2</v>
      </c>
      <c r="R158" s="5">
        <v>4</v>
      </c>
      <c r="S158" s="6">
        <v>4</v>
      </c>
      <c r="T158" s="5">
        <v>4</v>
      </c>
      <c r="U158" s="6">
        <v>4</v>
      </c>
      <c r="V158" s="5">
        <v>3</v>
      </c>
      <c r="W158" s="6">
        <v>3</v>
      </c>
      <c r="X158" s="6">
        <f t="shared" si="7"/>
        <v>2.8</v>
      </c>
      <c r="Y158" s="6">
        <f t="shared" si="7"/>
        <v>2.8</v>
      </c>
    </row>
    <row r="159" spans="1:25" x14ac:dyDescent="0.25">
      <c r="A159" s="2" t="s">
        <v>678</v>
      </c>
      <c r="B159" s="2" t="s">
        <v>679</v>
      </c>
      <c r="C159" s="2" t="s">
        <v>607</v>
      </c>
      <c r="D159" s="5">
        <v>32</v>
      </c>
      <c r="E159" s="6">
        <v>32</v>
      </c>
      <c r="F159" s="5">
        <v>32</v>
      </c>
      <c r="G159" s="6">
        <v>31.5</v>
      </c>
      <c r="H159" s="5">
        <v>31</v>
      </c>
      <c r="I159" s="6">
        <v>30.5</v>
      </c>
      <c r="J159" s="5">
        <v>31</v>
      </c>
      <c r="K159" s="6">
        <v>30.1</v>
      </c>
      <c r="L159" s="5">
        <v>29</v>
      </c>
      <c r="M159" s="6">
        <v>28.1</v>
      </c>
      <c r="N159" s="5">
        <v>28</v>
      </c>
      <c r="O159" s="6">
        <v>27.1</v>
      </c>
      <c r="P159" s="5">
        <v>27</v>
      </c>
      <c r="Q159" s="6">
        <v>26.1</v>
      </c>
      <c r="R159" s="5">
        <v>25</v>
      </c>
      <c r="S159" s="6">
        <v>25</v>
      </c>
      <c r="T159" s="5">
        <v>26</v>
      </c>
      <c r="U159" s="6">
        <v>26</v>
      </c>
      <c r="V159" s="5">
        <v>26</v>
      </c>
      <c r="W159" s="6">
        <v>26</v>
      </c>
      <c r="X159" s="6">
        <f t="shared" si="7"/>
        <v>28.7</v>
      </c>
      <c r="Y159" s="6">
        <f t="shared" si="7"/>
        <v>28.24</v>
      </c>
    </row>
    <row r="160" spans="1:25" x14ac:dyDescent="0.25">
      <c r="A160" s="2" t="s">
        <v>419</v>
      </c>
      <c r="B160" s="2" t="s">
        <v>420</v>
      </c>
      <c r="C160" s="2" t="s">
        <v>17</v>
      </c>
      <c r="D160" s="5">
        <v>0</v>
      </c>
      <c r="E160" s="6">
        <v>0</v>
      </c>
      <c r="F160" s="5">
        <v>0</v>
      </c>
      <c r="G160" s="6">
        <v>0</v>
      </c>
      <c r="H160" s="5">
        <v>0</v>
      </c>
      <c r="I160" s="6">
        <v>0</v>
      </c>
      <c r="J160" s="5">
        <v>0</v>
      </c>
      <c r="K160" s="6">
        <v>0</v>
      </c>
      <c r="L160" s="5">
        <v>2</v>
      </c>
      <c r="M160" s="6">
        <v>2</v>
      </c>
      <c r="N160" s="5">
        <v>6</v>
      </c>
      <c r="O160" s="6">
        <v>6</v>
      </c>
      <c r="P160" s="5">
        <v>4</v>
      </c>
      <c r="Q160" s="6">
        <v>4</v>
      </c>
      <c r="R160" s="5">
        <v>4</v>
      </c>
      <c r="S160" s="6">
        <v>4</v>
      </c>
      <c r="T160" s="5">
        <v>5</v>
      </c>
      <c r="U160" s="6">
        <v>5</v>
      </c>
      <c r="V160" s="5">
        <v>5</v>
      </c>
      <c r="W160" s="6">
        <v>5</v>
      </c>
      <c r="X160" s="6">
        <f t="shared" si="7"/>
        <v>2.6</v>
      </c>
      <c r="Y160" s="6">
        <f t="shared" si="7"/>
        <v>2.6</v>
      </c>
    </row>
    <row r="161" spans="1:25" x14ac:dyDescent="0.25">
      <c r="A161" s="2" t="s">
        <v>419</v>
      </c>
      <c r="B161" s="2" t="s">
        <v>420</v>
      </c>
      <c r="C161" s="2" t="s">
        <v>421</v>
      </c>
      <c r="D161" s="5">
        <v>147</v>
      </c>
      <c r="E161" s="6">
        <v>141.79</v>
      </c>
      <c r="F161" s="5">
        <v>156</v>
      </c>
      <c r="G161" s="6">
        <v>151.76</v>
      </c>
      <c r="H161" s="5">
        <v>152</v>
      </c>
      <c r="I161" s="6">
        <v>147.03</v>
      </c>
      <c r="J161" s="5">
        <v>162</v>
      </c>
      <c r="K161" s="6">
        <v>157.55000000000001</v>
      </c>
      <c r="L161" s="5">
        <v>169</v>
      </c>
      <c r="M161" s="6">
        <v>164.22</v>
      </c>
      <c r="N161" s="5">
        <v>159</v>
      </c>
      <c r="O161" s="6">
        <v>154.16999999999999</v>
      </c>
      <c r="P161" s="5">
        <v>171</v>
      </c>
      <c r="Q161" s="6">
        <v>164.84</v>
      </c>
      <c r="R161" s="5">
        <v>171</v>
      </c>
      <c r="S161" s="6">
        <v>165.62</v>
      </c>
      <c r="T161" s="5">
        <v>173</v>
      </c>
      <c r="U161" s="6">
        <v>167.71</v>
      </c>
      <c r="V161" s="5">
        <v>173</v>
      </c>
      <c r="W161" s="6">
        <v>167.97</v>
      </c>
      <c r="X161" s="6">
        <f t="shared" si="7"/>
        <v>163.30000000000001</v>
      </c>
      <c r="Y161" s="6">
        <f t="shared" si="7"/>
        <v>158.27000000000001</v>
      </c>
    </row>
    <row r="162" spans="1:25" x14ac:dyDescent="0.25">
      <c r="A162" s="2" t="s">
        <v>419</v>
      </c>
      <c r="B162" s="2" t="s">
        <v>420</v>
      </c>
      <c r="C162" s="2" t="s">
        <v>422</v>
      </c>
      <c r="D162" s="5">
        <v>295</v>
      </c>
      <c r="E162" s="6">
        <v>259.89000000000004</v>
      </c>
      <c r="F162" s="5">
        <v>300</v>
      </c>
      <c r="G162" s="6">
        <v>264.39999999999998</v>
      </c>
      <c r="H162" s="5">
        <v>297</v>
      </c>
      <c r="I162" s="6">
        <v>261.82</v>
      </c>
      <c r="J162" s="5">
        <v>293</v>
      </c>
      <c r="K162" s="6">
        <v>258</v>
      </c>
      <c r="L162" s="5">
        <v>287</v>
      </c>
      <c r="M162" s="6">
        <v>252.47000000000003</v>
      </c>
      <c r="N162" s="5">
        <v>286</v>
      </c>
      <c r="O162" s="6">
        <v>249.95</v>
      </c>
      <c r="P162" s="5">
        <v>282</v>
      </c>
      <c r="Q162" s="6">
        <v>246.27000000000004</v>
      </c>
      <c r="R162" s="5">
        <v>284</v>
      </c>
      <c r="S162" s="6">
        <v>248.14</v>
      </c>
      <c r="T162" s="5">
        <v>282</v>
      </c>
      <c r="U162" s="6">
        <v>247.13</v>
      </c>
      <c r="V162" s="5">
        <v>281</v>
      </c>
      <c r="W162" s="6">
        <v>245.26</v>
      </c>
      <c r="X162" s="6">
        <f t="shared" si="7"/>
        <v>288.7</v>
      </c>
      <c r="Y162" s="6">
        <f t="shared" si="7"/>
        <v>253.33</v>
      </c>
    </row>
    <row r="163" spans="1:25" x14ac:dyDescent="0.25">
      <c r="A163" s="2" t="s">
        <v>435</v>
      </c>
      <c r="B163" s="2" t="s">
        <v>436</v>
      </c>
      <c r="C163" s="2" t="s">
        <v>437</v>
      </c>
      <c r="D163" s="5">
        <v>35</v>
      </c>
      <c r="E163" s="6">
        <v>35</v>
      </c>
      <c r="F163" s="5">
        <v>41</v>
      </c>
      <c r="G163" s="6">
        <v>41</v>
      </c>
      <c r="H163" s="5">
        <v>38</v>
      </c>
      <c r="I163" s="6">
        <v>38</v>
      </c>
      <c r="J163" s="5">
        <v>32</v>
      </c>
      <c r="K163" s="6">
        <v>32</v>
      </c>
      <c r="L163" s="5">
        <v>30</v>
      </c>
      <c r="M163" s="6">
        <v>30</v>
      </c>
      <c r="N163" s="5">
        <v>53</v>
      </c>
      <c r="O163" s="6">
        <v>53</v>
      </c>
      <c r="P163" s="5">
        <v>46</v>
      </c>
      <c r="Q163" s="6">
        <v>46</v>
      </c>
      <c r="R163" s="5">
        <v>41</v>
      </c>
      <c r="S163" s="6">
        <v>41</v>
      </c>
      <c r="T163" s="5">
        <v>37</v>
      </c>
      <c r="U163" s="6">
        <v>37</v>
      </c>
      <c r="V163" s="5">
        <v>30</v>
      </c>
      <c r="W163" s="6">
        <v>30</v>
      </c>
      <c r="X163" s="6">
        <f t="shared" si="7"/>
        <v>38.299999999999997</v>
      </c>
      <c r="Y163" s="6">
        <f t="shared" si="7"/>
        <v>38.299999999999997</v>
      </c>
    </row>
    <row r="164" spans="1:25" x14ac:dyDescent="0.25">
      <c r="A164" s="2" t="s">
        <v>615</v>
      </c>
      <c r="B164" s="2" t="s">
        <v>616</v>
      </c>
      <c r="C164" s="2" t="s">
        <v>617</v>
      </c>
      <c r="D164" s="5">
        <v>45</v>
      </c>
      <c r="E164" s="6">
        <v>44</v>
      </c>
      <c r="F164" s="5">
        <v>42</v>
      </c>
      <c r="G164" s="6">
        <v>41</v>
      </c>
      <c r="H164" s="5">
        <v>43</v>
      </c>
      <c r="I164" s="6">
        <v>42</v>
      </c>
      <c r="J164" s="5">
        <v>44</v>
      </c>
      <c r="K164" s="6">
        <v>43</v>
      </c>
      <c r="L164" s="5">
        <v>45</v>
      </c>
      <c r="M164" s="6">
        <v>44.25</v>
      </c>
      <c r="N164" s="5">
        <v>51</v>
      </c>
      <c r="O164" s="6">
        <v>50.25</v>
      </c>
      <c r="P164" s="5">
        <v>54</v>
      </c>
      <c r="Q164" s="6">
        <v>52.25</v>
      </c>
      <c r="R164" s="5">
        <v>52</v>
      </c>
      <c r="S164" s="6">
        <v>50.25</v>
      </c>
      <c r="T164" s="5">
        <v>54</v>
      </c>
      <c r="U164" s="6">
        <v>52.5</v>
      </c>
      <c r="V164" s="5">
        <v>51</v>
      </c>
      <c r="W164" s="6">
        <v>49.5</v>
      </c>
      <c r="X164" s="6">
        <f t="shared" si="7"/>
        <v>48.1</v>
      </c>
      <c r="Y164" s="6">
        <f t="shared" si="7"/>
        <v>46.9</v>
      </c>
    </row>
    <row r="165" spans="1:25" x14ac:dyDescent="0.25">
      <c r="A165" s="2" t="s">
        <v>325</v>
      </c>
      <c r="B165" s="2" t="s">
        <v>326</v>
      </c>
      <c r="C165" s="2" t="s">
        <v>212</v>
      </c>
      <c r="D165" s="5">
        <v>20</v>
      </c>
      <c r="E165" s="6">
        <v>20</v>
      </c>
      <c r="F165" s="5">
        <v>25</v>
      </c>
      <c r="G165" s="6">
        <v>25</v>
      </c>
      <c r="H165" s="5">
        <v>24</v>
      </c>
      <c r="I165" s="6">
        <v>24</v>
      </c>
      <c r="J165" s="5">
        <v>29</v>
      </c>
      <c r="K165" s="6">
        <v>29</v>
      </c>
      <c r="L165" s="5">
        <v>31</v>
      </c>
      <c r="M165" s="6">
        <v>31</v>
      </c>
      <c r="N165" s="5">
        <v>29</v>
      </c>
      <c r="O165" s="6">
        <v>29</v>
      </c>
      <c r="P165" s="5">
        <v>30</v>
      </c>
      <c r="Q165" s="6">
        <v>30</v>
      </c>
      <c r="R165" s="5">
        <v>30</v>
      </c>
      <c r="S165" s="6">
        <v>30</v>
      </c>
      <c r="T165" s="5">
        <v>32</v>
      </c>
      <c r="U165" s="6">
        <v>32</v>
      </c>
      <c r="V165" s="5">
        <v>32</v>
      </c>
      <c r="W165" s="6">
        <v>32</v>
      </c>
      <c r="X165" s="6">
        <f t="shared" si="7"/>
        <v>28.2</v>
      </c>
      <c r="Y165" s="6">
        <f t="shared" si="7"/>
        <v>28.2</v>
      </c>
    </row>
    <row r="166" spans="1:25" x14ac:dyDescent="0.25">
      <c r="A166" s="2" t="s">
        <v>359</v>
      </c>
      <c r="B166" s="2" t="s">
        <v>360</v>
      </c>
      <c r="C166" s="2" t="s">
        <v>149</v>
      </c>
      <c r="D166" s="5">
        <v>52</v>
      </c>
      <c r="E166" s="6">
        <v>51.16</v>
      </c>
      <c r="F166" s="5">
        <v>56</v>
      </c>
      <c r="G166" s="6">
        <v>55.18</v>
      </c>
      <c r="H166" s="5">
        <v>58</v>
      </c>
      <c r="I166" s="6">
        <v>57.18</v>
      </c>
      <c r="J166" s="5">
        <v>57</v>
      </c>
      <c r="K166" s="6">
        <v>55.98</v>
      </c>
      <c r="L166" s="5">
        <v>53</v>
      </c>
      <c r="M166" s="6">
        <v>51.98</v>
      </c>
      <c r="N166" s="5">
        <v>48</v>
      </c>
      <c r="O166" s="6">
        <v>47.39</v>
      </c>
      <c r="P166" s="5">
        <v>192</v>
      </c>
      <c r="Q166" s="6">
        <v>172.28</v>
      </c>
      <c r="R166" s="5">
        <v>56</v>
      </c>
      <c r="S166" s="6">
        <v>55.8</v>
      </c>
      <c r="T166" s="5">
        <v>52</v>
      </c>
      <c r="U166" s="6">
        <v>51.8</v>
      </c>
      <c r="V166" s="5">
        <v>51</v>
      </c>
      <c r="W166" s="6">
        <v>50.6</v>
      </c>
      <c r="X166" s="6">
        <f t="shared" si="7"/>
        <v>67.5</v>
      </c>
      <c r="Y166" s="6">
        <f t="shared" si="7"/>
        <v>64.94</v>
      </c>
    </row>
    <row r="167" spans="1:25" x14ac:dyDescent="0.25">
      <c r="A167" s="2" t="s">
        <v>359</v>
      </c>
      <c r="B167" s="2" t="s">
        <v>360</v>
      </c>
      <c r="C167" s="2" t="s">
        <v>361</v>
      </c>
      <c r="D167" s="5">
        <v>172</v>
      </c>
      <c r="E167" s="6">
        <v>153.76</v>
      </c>
      <c r="F167" s="5">
        <v>173</v>
      </c>
      <c r="G167" s="6">
        <v>154.36000000000001</v>
      </c>
      <c r="H167" s="5">
        <v>175</v>
      </c>
      <c r="I167" s="6">
        <v>155.58000000000001</v>
      </c>
      <c r="J167" s="5">
        <v>186</v>
      </c>
      <c r="K167" s="6">
        <v>165.52</v>
      </c>
      <c r="L167" s="5">
        <v>193</v>
      </c>
      <c r="M167" s="6">
        <v>172.17</v>
      </c>
      <c r="N167" s="5">
        <v>194</v>
      </c>
      <c r="O167" s="6">
        <v>174.17</v>
      </c>
      <c r="P167" s="5">
        <v>51</v>
      </c>
      <c r="Q167" s="6">
        <v>50.39</v>
      </c>
      <c r="R167" s="5">
        <v>191</v>
      </c>
      <c r="S167" s="6">
        <v>169.12</v>
      </c>
      <c r="T167" s="5">
        <v>190</v>
      </c>
      <c r="U167" s="6">
        <v>168.6</v>
      </c>
      <c r="V167" s="5">
        <v>191</v>
      </c>
      <c r="W167" s="6">
        <v>169.49</v>
      </c>
      <c r="X167" s="6">
        <f t="shared" si="7"/>
        <v>171.6</v>
      </c>
      <c r="Y167" s="6">
        <f t="shared" si="7"/>
        <v>153.32</v>
      </c>
    </row>
    <row r="168" spans="1:25" x14ac:dyDescent="0.25">
      <c r="A168" s="2" t="s">
        <v>488</v>
      </c>
      <c r="B168" s="2" t="s">
        <v>489</v>
      </c>
      <c r="C168" s="2" t="s">
        <v>490</v>
      </c>
      <c r="D168" s="5">
        <v>13</v>
      </c>
      <c r="E168" s="6">
        <v>5.65</v>
      </c>
      <c r="F168" s="5">
        <v>13</v>
      </c>
      <c r="G168" s="6">
        <v>5.99</v>
      </c>
      <c r="H168" s="5">
        <v>14</v>
      </c>
      <c r="I168" s="6">
        <v>6.99</v>
      </c>
      <c r="J168" s="5">
        <v>18</v>
      </c>
      <c r="K168" s="6">
        <v>8.82</v>
      </c>
      <c r="L168" s="5">
        <v>18</v>
      </c>
      <c r="M168" s="6">
        <v>10.32</v>
      </c>
      <c r="N168" s="5">
        <v>17</v>
      </c>
      <c r="O168" s="6">
        <v>9.15</v>
      </c>
      <c r="P168" s="5">
        <v>17</v>
      </c>
      <c r="Q168" s="6">
        <v>9.15</v>
      </c>
      <c r="R168" s="5">
        <v>23</v>
      </c>
      <c r="S168" s="6">
        <v>13.17</v>
      </c>
      <c r="T168" s="5">
        <v>25</v>
      </c>
      <c r="U168" s="6">
        <v>13.82</v>
      </c>
      <c r="V168" s="5">
        <v>25</v>
      </c>
      <c r="W168" s="6">
        <v>13.83</v>
      </c>
      <c r="X168" s="6">
        <f t="shared" si="7"/>
        <v>18.3</v>
      </c>
      <c r="Y168" s="6">
        <f t="shared" si="7"/>
        <v>9.69</v>
      </c>
    </row>
    <row r="169" spans="1:25" x14ac:dyDescent="0.25">
      <c r="A169" s="2" t="s">
        <v>488</v>
      </c>
      <c r="B169" s="2" t="s">
        <v>489</v>
      </c>
      <c r="C169" s="2" t="s">
        <v>491</v>
      </c>
      <c r="D169" s="5">
        <v>49</v>
      </c>
      <c r="E169" s="6">
        <v>47.8</v>
      </c>
      <c r="F169" s="5">
        <v>52</v>
      </c>
      <c r="G169" s="6">
        <v>50.5</v>
      </c>
      <c r="H169" s="5">
        <v>53</v>
      </c>
      <c r="I169" s="6">
        <v>51.5</v>
      </c>
      <c r="J169" s="5">
        <v>53</v>
      </c>
      <c r="K169" s="6">
        <v>51.5</v>
      </c>
      <c r="L169" s="5">
        <v>53</v>
      </c>
      <c r="M169" s="6">
        <v>51.5</v>
      </c>
      <c r="N169" s="5">
        <v>56</v>
      </c>
      <c r="O169" s="6">
        <v>54.5</v>
      </c>
      <c r="P169" s="5">
        <v>54</v>
      </c>
      <c r="Q169" s="6">
        <v>52.5</v>
      </c>
      <c r="R169" s="5">
        <v>54</v>
      </c>
      <c r="S169" s="6">
        <v>52.5</v>
      </c>
      <c r="T169" s="5">
        <v>57</v>
      </c>
      <c r="U169" s="6">
        <v>55.5</v>
      </c>
      <c r="V169" s="5">
        <v>56</v>
      </c>
      <c r="W169" s="6">
        <v>54.8</v>
      </c>
      <c r="X169" s="6">
        <f t="shared" si="7"/>
        <v>53.7</v>
      </c>
      <c r="Y169" s="6">
        <f t="shared" si="7"/>
        <v>52.26</v>
      </c>
    </row>
    <row r="170" spans="1:25" x14ac:dyDescent="0.25">
      <c r="A170" s="2" t="s">
        <v>156</v>
      </c>
      <c r="B170" s="2" t="s">
        <v>157</v>
      </c>
      <c r="C170" s="2" t="s">
        <v>158</v>
      </c>
      <c r="D170" s="5">
        <v>0</v>
      </c>
      <c r="E170" s="6">
        <v>0</v>
      </c>
      <c r="F170" s="5">
        <v>6</v>
      </c>
      <c r="G170" s="6">
        <v>6</v>
      </c>
      <c r="H170" s="5">
        <v>8</v>
      </c>
      <c r="I170" s="6">
        <v>8</v>
      </c>
      <c r="J170" s="5">
        <v>10</v>
      </c>
      <c r="K170" s="6">
        <v>10</v>
      </c>
      <c r="L170" s="5">
        <v>11</v>
      </c>
      <c r="M170" s="6">
        <v>11</v>
      </c>
      <c r="N170" s="5">
        <v>11</v>
      </c>
      <c r="O170" s="6">
        <v>11</v>
      </c>
      <c r="P170" s="5">
        <v>13</v>
      </c>
      <c r="Q170" s="6">
        <v>13</v>
      </c>
      <c r="R170" s="5">
        <v>13</v>
      </c>
      <c r="S170" s="6">
        <v>13</v>
      </c>
      <c r="T170" s="5">
        <v>13</v>
      </c>
      <c r="U170" s="6">
        <v>13</v>
      </c>
      <c r="V170" s="5">
        <v>14</v>
      </c>
      <c r="W170" s="6">
        <v>14</v>
      </c>
      <c r="X170" s="6">
        <f t="shared" si="7"/>
        <v>9.9</v>
      </c>
      <c r="Y170" s="6">
        <f t="shared" si="7"/>
        <v>9.9</v>
      </c>
    </row>
    <row r="171" spans="1:25" x14ac:dyDescent="0.25">
      <c r="A171" s="2" t="s">
        <v>128</v>
      </c>
      <c r="B171" s="2" t="s">
        <v>129</v>
      </c>
      <c r="C171" s="2" t="s">
        <v>130</v>
      </c>
      <c r="D171" s="5">
        <v>45</v>
      </c>
      <c r="E171" s="6">
        <v>41.05</v>
      </c>
      <c r="F171" s="5">
        <v>47</v>
      </c>
      <c r="G171" s="6">
        <v>43</v>
      </c>
      <c r="H171" s="5">
        <v>42</v>
      </c>
      <c r="I171" s="6">
        <v>38.15</v>
      </c>
      <c r="J171" s="5">
        <v>45</v>
      </c>
      <c r="K171" s="6">
        <v>42.15</v>
      </c>
      <c r="L171" s="5">
        <v>46</v>
      </c>
      <c r="M171" s="6">
        <v>42.15</v>
      </c>
      <c r="N171" s="5">
        <v>49</v>
      </c>
      <c r="O171" s="6">
        <v>45.15</v>
      </c>
      <c r="P171" s="5">
        <v>61</v>
      </c>
      <c r="Q171" s="6">
        <v>54.53</v>
      </c>
      <c r="R171" s="5">
        <v>60</v>
      </c>
      <c r="S171" s="6">
        <v>54.3</v>
      </c>
      <c r="T171" s="5">
        <v>65</v>
      </c>
      <c r="U171" s="6">
        <v>58.67</v>
      </c>
      <c r="V171" s="5">
        <v>65</v>
      </c>
      <c r="W171" s="6">
        <v>58.67</v>
      </c>
      <c r="X171" s="6">
        <f t="shared" si="7"/>
        <v>52.5</v>
      </c>
      <c r="Y171" s="6">
        <f t="shared" si="7"/>
        <v>47.78</v>
      </c>
    </row>
    <row r="172" spans="1:25" x14ac:dyDescent="0.25">
      <c r="A172" s="2" t="s">
        <v>265</v>
      </c>
      <c r="B172" s="2" t="s">
        <v>266</v>
      </c>
      <c r="C172" s="2" t="s">
        <v>267</v>
      </c>
      <c r="D172" s="5">
        <v>59</v>
      </c>
      <c r="E172" s="6">
        <v>53.63</v>
      </c>
      <c r="F172" s="5">
        <v>63</v>
      </c>
      <c r="G172" s="6">
        <v>57.15</v>
      </c>
      <c r="H172" s="5">
        <v>60</v>
      </c>
      <c r="I172" s="6">
        <v>54.19</v>
      </c>
      <c r="J172" s="5">
        <v>56</v>
      </c>
      <c r="K172" s="6">
        <v>51.55</v>
      </c>
      <c r="L172" s="5">
        <v>56</v>
      </c>
      <c r="M172" s="6">
        <v>51.55</v>
      </c>
      <c r="N172" s="5">
        <v>65</v>
      </c>
      <c r="O172" s="6">
        <v>58.09</v>
      </c>
      <c r="P172" s="5">
        <v>64</v>
      </c>
      <c r="Q172" s="6">
        <v>57.26</v>
      </c>
      <c r="R172" s="5">
        <v>63</v>
      </c>
      <c r="S172" s="6">
        <v>56.89</v>
      </c>
      <c r="T172" s="5">
        <v>62</v>
      </c>
      <c r="U172" s="6">
        <v>55.89</v>
      </c>
      <c r="V172" s="5">
        <v>63</v>
      </c>
      <c r="W172" s="6">
        <v>56.23</v>
      </c>
      <c r="X172" s="6">
        <f t="shared" si="7"/>
        <v>61.1</v>
      </c>
      <c r="Y172" s="6">
        <f t="shared" si="7"/>
        <v>55.24</v>
      </c>
    </row>
    <row r="173" spans="1:25" x14ac:dyDescent="0.25">
      <c r="A173" s="2" t="s">
        <v>321</v>
      </c>
      <c r="B173" s="2" t="s">
        <v>322</v>
      </c>
      <c r="C173" s="2" t="s">
        <v>323</v>
      </c>
      <c r="D173" s="5">
        <v>55</v>
      </c>
      <c r="E173" s="6">
        <v>52.32</v>
      </c>
      <c r="F173" s="5">
        <v>62</v>
      </c>
      <c r="G173" s="6">
        <v>60.98</v>
      </c>
      <c r="H173" s="5">
        <v>64</v>
      </c>
      <c r="I173" s="6">
        <v>62.32</v>
      </c>
      <c r="J173" s="5">
        <v>68</v>
      </c>
      <c r="K173" s="6">
        <v>65.64</v>
      </c>
      <c r="L173" s="5">
        <v>71</v>
      </c>
      <c r="M173" s="6">
        <v>67.240000000000009</v>
      </c>
      <c r="N173" s="5">
        <v>81</v>
      </c>
      <c r="O173" s="6">
        <v>77.58</v>
      </c>
      <c r="P173" s="5">
        <v>77</v>
      </c>
      <c r="Q173" s="6">
        <v>74.58</v>
      </c>
      <c r="R173" s="5">
        <v>79</v>
      </c>
      <c r="S173" s="6">
        <v>76.98</v>
      </c>
      <c r="T173" s="5">
        <v>79</v>
      </c>
      <c r="U173" s="6">
        <v>76.98</v>
      </c>
      <c r="V173" s="5">
        <v>78</v>
      </c>
      <c r="W173" s="6">
        <v>75.319999999999993</v>
      </c>
      <c r="X173" s="6">
        <f t="shared" si="7"/>
        <v>71.400000000000006</v>
      </c>
      <c r="Y173" s="6">
        <f t="shared" si="7"/>
        <v>68.989999999999995</v>
      </c>
    </row>
    <row r="174" spans="1:25" x14ac:dyDescent="0.25">
      <c r="A174" s="2" t="s">
        <v>321</v>
      </c>
      <c r="B174" s="2" t="s">
        <v>322</v>
      </c>
      <c r="C174" s="2" t="s">
        <v>324</v>
      </c>
      <c r="D174" s="5">
        <v>67</v>
      </c>
      <c r="E174" s="6">
        <v>61</v>
      </c>
      <c r="F174" s="5">
        <v>75</v>
      </c>
      <c r="G174" s="6">
        <v>64.72</v>
      </c>
      <c r="H174" s="5">
        <v>77</v>
      </c>
      <c r="I174" s="6">
        <v>69.349999999999994</v>
      </c>
      <c r="J174" s="5">
        <v>77</v>
      </c>
      <c r="K174" s="6">
        <v>66.62</v>
      </c>
      <c r="L174" s="5">
        <v>78</v>
      </c>
      <c r="M174" s="6">
        <v>67.150000000000006</v>
      </c>
      <c r="N174" s="5">
        <v>75</v>
      </c>
      <c r="O174" s="6">
        <v>63.55</v>
      </c>
      <c r="P174" s="5">
        <v>75</v>
      </c>
      <c r="Q174" s="6">
        <v>60.55</v>
      </c>
      <c r="R174" s="5">
        <v>72</v>
      </c>
      <c r="S174" s="6">
        <v>63.5</v>
      </c>
      <c r="T174" s="5">
        <v>70</v>
      </c>
      <c r="U174" s="6">
        <v>62.97</v>
      </c>
      <c r="V174" s="5">
        <v>68</v>
      </c>
      <c r="W174" s="6">
        <v>60.97</v>
      </c>
      <c r="X174" s="6">
        <f t="shared" si="7"/>
        <v>73.400000000000006</v>
      </c>
      <c r="Y174" s="6">
        <f t="shared" si="7"/>
        <v>64.040000000000006</v>
      </c>
    </row>
    <row r="175" spans="1:25" x14ac:dyDescent="0.25">
      <c r="A175" s="2" t="s">
        <v>560</v>
      </c>
      <c r="B175" s="2" t="s">
        <v>561</v>
      </c>
      <c r="C175" s="2" t="s">
        <v>562</v>
      </c>
      <c r="D175" s="5">
        <v>99</v>
      </c>
      <c r="E175" s="6">
        <v>97.54</v>
      </c>
      <c r="F175" s="5">
        <v>105</v>
      </c>
      <c r="G175" s="6">
        <v>103.52</v>
      </c>
      <c r="H175" s="5">
        <v>103</v>
      </c>
      <c r="I175" s="6">
        <v>101.5</v>
      </c>
      <c r="J175" s="5">
        <v>102</v>
      </c>
      <c r="K175" s="6">
        <v>100.5</v>
      </c>
      <c r="L175" s="5">
        <v>103</v>
      </c>
      <c r="M175" s="6">
        <v>101.5</v>
      </c>
      <c r="N175" s="5">
        <v>101</v>
      </c>
      <c r="O175" s="6">
        <v>99.6</v>
      </c>
      <c r="P175" s="5">
        <v>101</v>
      </c>
      <c r="Q175" s="6">
        <v>99.6</v>
      </c>
      <c r="R175" s="5">
        <v>95</v>
      </c>
      <c r="S175" s="6">
        <v>93.6</v>
      </c>
      <c r="T175" s="5">
        <v>94</v>
      </c>
      <c r="U175" s="6">
        <v>92.49</v>
      </c>
      <c r="V175" s="5">
        <v>94</v>
      </c>
      <c r="W175" s="6">
        <v>92.49</v>
      </c>
      <c r="X175" s="6">
        <f t="shared" si="7"/>
        <v>99.7</v>
      </c>
      <c r="Y175" s="6">
        <f t="shared" si="7"/>
        <v>98.23</v>
      </c>
    </row>
    <row r="176" spans="1:25" x14ac:dyDescent="0.25">
      <c r="A176" s="2" t="s">
        <v>560</v>
      </c>
      <c r="B176" s="2" t="s">
        <v>561</v>
      </c>
      <c r="C176" s="2" t="s">
        <v>563</v>
      </c>
      <c r="D176" s="5">
        <v>332</v>
      </c>
      <c r="E176" s="6">
        <v>314.45</v>
      </c>
      <c r="F176" s="5">
        <v>352</v>
      </c>
      <c r="G176" s="6">
        <v>335.37</v>
      </c>
      <c r="H176" s="5">
        <v>372</v>
      </c>
      <c r="I176" s="6">
        <v>355.55</v>
      </c>
      <c r="J176" s="5">
        <v>378</v>
      </c>
      <c r="K176" s="6">
        <v>363.01</v>
      </c>
      <c r="L176" s="5">
        <v>376</v>
      </c>
      <c r="M176" s="6">
        <v>359.65</v>
      </c>
      <c r="N176" s="5">
        <v>392</v>
      </c>
      <c r="O176" s="6">
        <v>375.28999999999996</v>
      </c>
      <c r="P176" s="5">
        <v>406</v>
      </c>
      <c r="Q176" s="6">
        <v>389.28999999999996</v>
      </c>
      <c r="R176" s="5">
        <v>408</v>
      </c>
      <c r="S176" s="6">
        <v>391.46999999999997</v>
      </c>
      <c r="T176" s="5">
        <v>418</v>
      </c>
      <c r="U176" s="6">
        <v>401.75</v>
      </c>
      <c r="V176" s="5">
        <v>411</v>
      </c>
      <c r="W176" s="6">
        <v>394.75</v>
      </c>
      <c r="X176" s="6">
        <f t="shared" si="7"/>
        <v>384.5</v>
      </c>
      <c r="Y176" s="6">
        <f t="shared" si="7"/>
        <v>368.06</v>
      </c>
    </row>
    <row r="177" spans="1:25" x14ac:dyDescent="0.25">
      <c r="A177" s="2" t="s">
        <v>680</v>
      </c>
      <c r="B177" s="2" t="s">
        <v>681</v>
      </c>
      <c r="C177" s="2" t="s">
        <v>155</v>
      </c>
      <c r="D177" s="5">
        <v>124</v>
      </c>
      <c r="E177" s="6">
        <v>95.88</v>
      </c>
      <c r="F177" s="5">
        <v>124</v>
      </c>
      <c r="G177" s="6">
        <v>96.08</v>
      </c>
      <c r="H177" s="5">
        <v>128</v>
      </c>
      <c r="I177" s="6">
        <v>99.18</v>
      </c>
      <c r="J177" s="5">
        <v>129</v>
      </c>
      <c r="K177" s="6">
        <v>99.779999999999973</v>
      </c>
      <c r="L177" s="5">
        <v>130</v>
      </c>
      <c r="M177" s="6">
        <v>100.72999999999999</v>
      </c>
      <c r="N177" s="5">
        <v>129</v>
      </c>
      <c r="O177" s="6">
        <v>100.42999999999999</v>
      </c>
      <c r="P177" s="5">
        <v>128</v>
      </c>
      <c r="Q177" s="6">
        <v>99.63000000000001</v>
      </c>
      <c r="R177" s="5">
        <v>127</v>
      </c>
      <c r="S177" s="6">
        <v>99.22999999999999</v>
      </c>
      <c r="T177" s="5">
        <v>130</v>
      </c>
      <c r="U177" s="6">
        <v>102.63000000000002</v>
      </c>
      <c r="V177" s="5">
        <v>130</v>
      </c>
      <c r="W177" s="6">
        <v>102.62999999999998</v>
      </c>
      <c r="X177" s="6">
        <f t="shared" si="7"/>
        <v>127.9</v>
      </c>
      <c r="Y177" s="6">
        <f t="shared" si="7"/>
        <v>99.62</v>
      </c>
    </row>
    <row r="178" spans="1:25" x14ac:dyDescent="0.25">
      <c r="A178" s="2" t="s">
        <v>249</v>
      </c>
      <c r="B178" s="2" t="s">
        <v>250</v>
      </c>
      <c r="C178" s="2" t="s">
        <v>215</v>
      </c>
      <c r="D178" s="5">
        <v>6</v>
      </c>
      <c r="E178" s="6">
        <v>6</v>
      </c>
      <c r="F178" s="5">
        <v>10</v>
      </c>
      <c r="G178" s="6">
        <v>10</v>
      </c>
      <c r="H178" s="5">
        <v>8</v>
      </c>
      <c r="I178" s="6">
        <v>8</v>
      </c>
      <c r="J178" s="5">
        <v>10</v>
      </c>
      <c r="K178" s="6">
        <v>10</v>
      </c>
      <c r="L178" s="5">
        <v>12</v>
      </c>
      <c r="M178" s="6">
        <v>12</v>
      </c>
      <c r="N178" s="5">
        <v>12</v>
      </c>
      <c r="O178" s="6">
        <v>12</v>
      </c>
      <c r="P178" s="5">
        <v>10</v>
      </c>
      <c r="Q178" s="6">
        <v>10</v>
      </c>
      <c r="R178" s="5">
        <v>9</v>
      </c>
      <c r="S178" s="6">
        <v>9</v>
      </c>
      <c r="T178" s="5">
        <v>9</v>
      </c>
      <c r="U178" s="6">
        <v>9</v>
      </c>
      <c r="V178" s="5">
        <v>9</v>
      </c>
      <c r="W178" s="6">
        <v>9</v>
      </c>
      <c r="X178" s="6">
        <f t="shared" si="7"/>
        <v>9.5</v>
      </c>
      <c r="Y178" s="6">
        <f t="shared" si="7"/>
        <v>9.5</v>
      </c>
    </row>
    <row r="179" spans="1:25" x14ac:dyDescent="0.25">
      <c r="A179" s="2" t="s">
        <v>249</v>
      </c>
      <c r="B179" s="2" t="s">
        <v>250</v>
      </c>
      <c r="C179" s="2" t="s">
        <v>251</v>
      </c>
      <c r="D179" s="5">
        <v>394</v>
      </c>
      <c r="E179" s="6">
        <v>384.67</v>
      </c>
      <c r="F179" s="5">
        <v>404</v>
      </c>
      <c r="G179" s="6">
        <v>393.52</v>
      </c>
      <c r="H179" s="5">
        <v>407</v>
      </c>
      <c r="I179" s="6">
        <v>396.67</v>
      </c>
      <c r="J179" s="5">
        <v>408</v>
      </c>
      <c r="K179" s="6">
        <v>397.37</v>
      </c>
      <c r="L179" s="5">
        <v>412</v>
      </c>
      <c r="M179" s="6">
        <v>401.37</v>
      </c>
      <c r="N179" s="5">
        <v>424</v>
      </c>
      <c r="O179" s="6">
        <v>408.31</v>
      </c>
      <c r="P179" s="5">
        <v>421</v>
      </c>
      <c r="Q179" s="6">
        <v>405.14</v>
      </c>
      <c r="R179" s="5">
        <v>420</v>
      </c>
      <c r="S179" s="6">
        <v>404.28999999999996</v>
      </c>
      <c r="T179" s="5">
        <v>422</v>
      </c>
      <c r="U179" s="6">
        <v>405.21999999999997</v>
      </c>
      <c r="V179" s="5">
        <v>423</v>
      </c>
      <c r="W179" s="6">
        <v>405.75</v>
      </c>
      <c r="X179" s="6">
        <f t="shared" si="7"/>
        <v>413.5</v>
      </c>
      <c r="Y179" s="6">
        <f t="shared" si="7"/>
        <v>400.23</v>
      </c>
    </row>
    <row r="180" spans="1:25" x14ac:dyDescent="0.25">
      <c r="A180" s="2" t="s">
        <v>173</v>
      </c>
      <c r="B180" s="2" t="s">
        <v>174</v>
      </c>
      <c r="C180" s="2" t="s">
        <v>175</v>
      </c>
      <c r="D180" s="5">
        <v>396</v>
      </c>
      <c r="E180" s="6">
        <v>321.70999999999998</v>
      </c>
      <c r="F180" s="5">
        <v>405</v>
      </c>
      <c r="G180" s="6">
        <v>329.03000000000003</v>
      </c>
      <c r="H180" s="5">
        <v>402</v>
      </c>
      <c r="I180" s="6">
        <v>325.69</v>
      </c>
      <c r="J180" s="5">
        <v>399</v>
      </c>
      <c r="K180" s="6">
        <v>323.71999999999997</v>
      </c>
      <c r="L180" s="5">
        <v>427</v>
      </c>
      <c r="M180" s="6">
        <v>347.28000000000003</v>
      </c>
      <c r="N180" s="5">
        <v>421</v>
      </c>
      <c r="O180" s="6">
        <v>344.22</v>
      </c>
      <c r="P180" s="5">
        <v>421</v>
      </c>
      <c r="Q180" s="6">
        <v>341.98999999999995</v>
      </c>
      <c r="R180" s="5">
        <v>435</v>
      </c>
      <c r="S180" s="6">
        <v>352.17</v>
      </c>
      <c r="T180" s="5">
        <v>434</v>
      </c>
      <c r="U180" s="6">
        <v>350.12</v>
      </c>
      <c r="V180" s="5">
        <v>431</v>
      </c>
      <c r="W180" s="6">
        <v>347.81</v>
      </c>
      <c r="X180" s="6">
        <f t="shared" si="7"/>
        <v>417.1</v>
      </c>
      <c r="Y180" s="6">
        <f t="shared" si="7"/>
        <v>338.37</v>
      </c>
    </row>
    <row r="181" spans="1:25" x14ac:dyDescent="0.25">
      <c r="A181" s="2" t="s">
        <v>173</v>
      </c>
      <c r="B181" s="2" t="s">
        <v>174</v>
      </c>
      <c r="C181" s="2" t="s">
        <v>176</v>
      </c>
      <c r="D181" s="5">
        <v>0</v>
      </c>
      <c r="E181" s="6">
        <v>0</v>
      </c>
      <c r="F181" s="5">
        <v>35</v>
      </c>
      <c r="G181" s="6">
        <v>31.46</v>
      </c>
      <c r="H181" s="5">
        <v>38</v>
      </c>
      <c r="I181" s="6">
        <v>34.46</v>
      </c>
      <c r="J181" s="5">
        <v>38</v>
      </c>
      <c r="K181" s="6">
        <v>34.46</v>
      </c>
      <c r="L181" s="5">
        <v>43</v>
      </c>
      <c r="M181" s="6">
        <v>36.61</v>
      </c>
      <c r="N181" s="5">
        <v>49</v>
      </c>
      <c r="O181" s="6">
        <v>41.66</v>
      </c>
      <c r="P181" s="5">
        <v>50</v>
      </c>
      <c r="Q181" s="6">
        <v>42.66</v>
      </c>
      <c r="R181" s="5">
        <v>42</v>
      </c>
      <c r="S181" s="6">
        <v>35.46</v>
      </c>
      <c r="T181" s="5">
        <v>49</v>
      </c>
      <c r="U181" s="6">
        <v>43.04</v>
      </c>
      <c r="V181" s="5">
        <v>51</v>
      </c>
      <c r="W181" s="6">
        <v>45.04</v>
      </c>
      <c r="X181" s="6">
        <f t="shared" si="7"/>
        <v>39.5</v>
      </c>
      <c r="Y181" s="6">
        <f t="shared" si="7"/>
        <v>34.49</v>
      </c>
    </row>
    <row r="182" spans="1:25" x14ac:dyDescent="0.25">
      <c r="A182" s="2" t="s">
        <v>170</v>
      </c>
      <c r="B182" s="2" t="s">
        <v>171</v>
      </c>
      <c r="C182" s="2" t="s">
        <v>172</v>
      </c>
      <c r="D182" s="5">
        <v>17</v>
      </c>
      <c r="E182" s="6">
        <v>16.47</v>
      </c>
      <c r="F182" s="5">
        <v>20</v>
      </c>
      <c r="G182" s="6">
        <v>20</v>
      </c>
      <c r="H182" s="5">
        <v>20</v>
      </c>
      <c r="I182" s="6">
        <v>20</v>
      </c>
      <c r="J182" s="5">
        <v>22</v>
      </c>
      <c r="K182" s="6">
        <v>22</v>
      </c>
      <c r="L182" s="5">
        <v>23</v>
      </c>
      <c r="M182" s="6">
        <v>23</v>
      </c>
      <c r="N182" s="5">
        <v>25</v>
      </c>
      <c r="O182" s="6">
        <v>25</v>
      </c>
      <c r="P182" s="5">
        <v>26</v>
      </c>
      <c r="Q182" s="6">
        <v>26</v>
      </c>
      <c r="R182" s="5">
        <v>24</v>
      </c>
      <c r="S182" s="6">
        <v>24</v>
      </c>
      <c r="T182" s="5">
        <v>23</v>
      </c>
      <c r="U182" s="6">
        <v>23</v>
      </c>
      <c r="V182" s="5">
        <v>24</v>
      </c>
      <c r="W182" s="6">
        <v>24</v>
      </c>
      <c r="X182" s="6">
        <f t="shared" si="7"/>
        <v>22.4</v>
      </c>
      <c r="Y182" s="6">
        <f t="shared" si="7"/>
        <v>22.35</v>
      </c>
    </row>
    <row r="183" spans="1:25" x14ac:dyDescent="0.25">
      <c r="A183" s="2" t="s">
        <v>350</v>
      </c>
      <c r="B183" s="2" t="s">
        <v>351</v>
      </c>
      <c r="C183" s="2" t="s">
        <v>352</v>
      </c>
      <c r="D183" s="5">
        <v>0</v>
      </c>
      <c r="E183" s="6">
        <v>0</v>
      </c>
      <c r="F183" s="5">
        <v>0</v>
      </c>
      <c r="G183" s="6">
        <v>0</v>
      </c>
      <c r="H183" s="5">
        <v>0</v>
      </c>
      <c r="I183" s="6">
        <v>0</v>
      </c>
      <c r="J183" s="5">
        <v>0</v>
      </c>
      <c r="K183" s="6">
        <v>0</v>
      </c>
      <c r="L183" s="5">
        <v>0</v>
      </c>
      <c r="M183" s="6">
        <v>0</v>
      </c>
      <c r="N183" s="5">
        <v>0</v>
      </c>
      <c r="O183" s="6">
        <v>0</v>
      </c>
      <c r="P183" s="5">
        <v>49</v>
      </c>
      <c r="Q183" s="6">
        <v>48.02</v>
      </c>
      <c r="R183" s="5">
        <v>0</v>
      </c>
      <c r="S183" s="6">
        <v>0</v>
      </c>
      <c r="T183" s="5">
        <v>0</v>
      </c>
      <c r="U183" s="6">
        <v>0</v>
      </c>
      <c r="V183" s="5">
        <v>0</v>
      </c>
      <c r="W183" s="6">
        <v>0</v>
      </c>
      <c r="X183" s="6">
        <f t="shared" si="7"/>
        <v>4.9000000000000004</v>
      </c>
      <c r="Y183" s="6">
        <f t="shared" si="7"/>
        <v>4.8</v>
      </c>
    </row>
    <row r="184" spans="1:25" x14ac:dyDescent="0.25">
      <c r="A184" s="2" t="s">
        <v>350</v>
      </c>
      <c r="B184" s="2" t="s">
        <v>351</v>
      </c>
      <c r="C184" s="2" t="s">
        <v>353</v>
      </c>
      <c r="D184" s="5">
        <v>0</v>
      </c>
      <c r="E184" s="6">
        <v>0</v>
      </c>
      <c r="F184" s="5">
        <v>0</v>
      </c>
      <c r="G184" s="6">
        <v>0</v>
      </c>
      <c r="H184" s="5">
        <v>0</v>
      </c>
      <c r="I184" s="6">
        <v>0</v>
      </c>
      <c r="J184" s="5">
        <v>0</v>
      </c>
      <c r="K184" s="6">
        <v>0</v>
      </c>
      <c r="L184" s="5">
        <v>53</v>
      </c>
      <c r="M184" s="6">
        <v>50.74</v>
      </c>
      <c r="N184" s="5">
        <v>62</v>
      </c>
      <c r="O184" s="6">
        <v>58.62</v>
      </c>
      <c r="P184" s="5">
        <v>0</v>
      </c>
      <c r="Q184" s="6">
        <v>0</v>
      </c>
      <c r="R184" s="5">
        <v>0</v>
      </c>
      <c r="S184" s="6">
        <v>0</v>
      </c>
      <c r="T184" s="5">
        <v>0</v>
      </c>
      <c r="U184" s="6">
        <v>0</v>
      </c>
      <c r="V184" s="5">
        <v>0</v>
      </c>
      <c r="W184" s="6">
        <v>0</v>
      </c>
      <c r="X184" s="6">
        <f t="shared" si="7"/>
        <v>11.5</v>
      </c>
      <c r="Y184" s="6">
        <f t="shared" si="7"/>
        <v>10.94</v>
      </c>
    </row>
    <row r="185" spans="1:25" x14ac:dyDescent="0.25">
      <c r="A185" s="2" t="s">
        <v>167</v>
      </c>
      <c r="B185" s="2" t="s">
        <v>168</v>
      </c>
      <c r="C185" s="2" t="s">
        <v>169</v>
      </c>
      <c r="D185" s="5">
        <v>6</v>
      </c>
      <c r="E185" s="6">
        <v>2</v>
      </c>
      <c r="F185" s="5">
        <v>9</v>
      </c>
      <c r="G185" s="6">
        <v>8.6199999999999992</v>
      </c>
      <c r="H185" s="5">
        <v>7</v>
      </c>
      <c r="I185" s="6">
        <v>6.62</v>
      </c>
      <c r="J185" s="5">
        <v>8</v>
      </c>
      <c r="K185" s="6">
        <v>7.62</v>
      </c>
      <c r="L185" s="5">
        <v>7</v>
      </c>
      <c r="M185" s="6">
        <v>6.62</v>
      </c>
      <c r="N185" s="5">
        <v>5</v>
      </c>
      <c r="O185" s="6">
        <v>4.8099999999999996</v>
      </c>
      <c r="P185" s="5">
        <v>5</v>
      </c>
      <c r="Q185" s="6">
        <v>4.1900000000000004</v>
      </c>
      <c r="R185" s="5">
        <v>4</v>
      </c>
      <c r="S185" s="6">
        <v>3.81</v>
      </c>
      <c r="T185" s="5">
        <v>4</v>
      </c>
      <c r="U185" s="6">
        <v>3.81</v>
      </c>
      <c r="V185" s="5">
        <v>4</v>
      </c>
      <c r="W185" s="6">
        <v>4</v>
      </c>
      <c r="X185" s="6">
        <f t="shared" si="7"/>
        <v>5.9</v>
      </c>
      <c r="Y185" s="6">
        <f t="shared" si="7"/>
        <v>5.21</v>
      </c>
    </row>
    <row r="186" spans="1:25" x14ac:dyDescent="0.25">
      <c r="A186" s="2" t="s">
        <v>331</v>
      </c>
      <c r="B186" s="2" t="s">
        <v>332</v>
      </c>
      <c r="C186" s="2" t="s">
        <v>333</v>
      </c>
      <c r="D186" s="5">
        <v>8</v>
      </c>
      <c r="E186" s="6">
        <v>8</v>
      </c>
      <c r="F186" s="5">
        <v>15</v>
      </c>
      <c r="G186" s="6">
        <v>15</v>
      </c>
      <c r="H186" s="5">
        <v>18</v>
      </c>
      <c r="I186" s="6">
        <v>18</v>
      </c>
      <c r="J186" s="5">
        <v>20</v>
      </c>
      <c r="K186" s="6">
        <v>20</v>
      </c>
      <c r="L186" s="5">
        <v>1</v>
      </c>
      <c r="M186" s="6">
        <v>1</v>
      </c>
      <c r="N186" s="5">
        <v>1</v>
      </c>
      <c r="O186" s="6">
        <v>1</v>
      </c>
      <c r="P186" s="5">
        <v>1</v>
      </c>
      <c r="Q186" s="6">
        <v>1</v>
      </c>
      <c r="R186" s="5">
        <v>1</v>
      </c>
      <c r="S186" s="6">
        <v>1</v>
      </c>
      <c r="T186" s="5">
        <v>1</v>
      </c>
      <c r="U186" s="6">
        <v>1</v>
      </c>
      <c r="V186" s="5">
        <v>1</v>
      </c>
      <c r="W186" s="6">
        <v>1</v>
      </c>
      <c r="X186" s="6">
        <f t="shared" si="7"/>
        <v>6.7</v>
      </c>
      <c r="Y186" s="6">
        <f t="shared" si="7"/>
        <v>6.7</v>
      </c>
    </row>
    <row r="187" spans="1:25" x14ac:dyDescent="0.25">
      <c r="A187" s="2" t="s">
        <v>331</v>
      </c>
      <c r="B187" s="2" t="s">
        <v>332</v>
      </c>
      <c r="C187" s="2" t="s">
        <v>334</v>
      </c>
      <c r="D187" s="5">
        <v>63</v>
      </c>
      <c r="E187" s="6">
        <v>60.69</v>
      </c>
      <c r="F187" s="5">
        <v>72</v>
      </c>
      <c r="G187" s="6">
        <v>69.52</v>
      </c>
      <c r="H187" s="5">
        <v>85</v>
      </c>
      <c r="I187" s="6">
        <v>82.52</v>
      </c>
      <c r="J187" s="5">
        <v>93</v>
      </c>
      <c r="K187" s="6">
        <v>90.2</v>
      </c>
      <c r="L187" s="5">
        <v>92</v>
      </c>
      <c r="M187" s="6">
        <v>88.52</v>
      </c>
      <c r="N187" s="5">
        <v>90</v>
      </c>
      <c r="O187" s="6">
        <v>86.7</v>
      </c>
      <c r="P187" s="5">
        <v>93</v>
      </c>
      <c r="Q187" s="6">
        <v>89.53</v>
      </c>
      <c r="R187" s="5">
        <v>92</v>
      </c>
      <c r="S187" s="6">
        <v>87.19</v>
      </c>
      <c r="T187" s="5">
        <v>92</v>
      </c>
      <c r="U187" s="6">
        <v>86.690000000000012</v>
      </c>
      <c r="V187" s="5">
        <v>88</v>
      </c>
      <c r="W187" s="6">
        <v>83.35</v>
      </c>
      <c r="X187" s="6">
        <f t="shared" si="7"/>
        <v>86</v>
      </c>
      <c r="Y187" s="6">
        <f t="shared" si="7"/>
        <v>82.49</v>
      </c>
    </row>
    <row r="188" spans="1:25" x14ac:dyDescent="0.25">
      <c r="A188" s="2" t="s">
        <v>568</v>
      </c>
      <c r="B188" s="2" t="s">
        <v>569</v>
      </c>
      <c r="C188" s="2" t="s">
        <v>570</v>
      </c>
      <c r="D188" s="5">
        <v>191</v>
      </c>
      <c r="E188" s="6">
        <v>187.33</v>
      </c>
      <c r="F188" s="5">
        <v>192</v>
      </c>
      <c r="G188" s="6">
        <v>188.39000000000001</v>
      </c>
      <c r="H188" s="5">
        <v>189</v>
      </c>
      <c r="I188" s="6">
        <v>185.99</v>
      </c>
      <c r="J188" s="5">
        <v>186</v>
      </c>
      <c r="K188" s="6">
        <v>182.13000000000002</v>
      </c>
      <c r="L188" s="5">
        <v>185</v>
      </c>
      <c r="M188" s="6">
        <v>181.29999999999998</v>
      </c>
      <c r="N188" s="5">
        <v>186</v>
      </c>
      <c r="O188" s="6">
        <v>181.15</v>
      </c>
      <c r="P188" s="5">
        <v>186</v>
      </c>
      <c r="Q188" s="6">
        <v>181.32</v>
      </c>
      <c r="R188" s="5">
        <v>184</v>
      </c>
      <c r="S188" s="6">
        <v>178.37</v>
      </c>
      <c r="T188" s="5">
        <v>183</v>
      </c>
      <c r="U188" s="6">
        <v>174.67</v>
      </c>
      <c r="V188" s="5">
        <v>183</v>
      </c>
      <c r="W188" s="6">
        <v>174.67</v>
      </c>
      <c r="X188" s="6">
        <f t="shared" si="7"/>
        <v>186.5</v>
      </c>
      <c r="Y188" s="6">
        <f t="shared" si="7"/>
        <v>181.53</v>
      </c>
    </row>
    <row r="189" spans="1:25" x14ac:dyDescent="0.25">
      <c r="A189" s="2" t="s">
        <v>568</v>
      </c>
      <c r="B189" s="2" t="s">
        <v>569</v>
      </c>
      <c r="C189" s="2" t="s">
        <v>571</v>
      </c>
      <c r="D189" s="5">
        <v>0</v>
      </c>
      <c r="E189" s="6">
        <v>0</v>
      </c>
      <c r="F189" s="5">
        <v>0</v>
      </c>
      <c r="G189" s="6">
        <v>0</v>
      </c>
      <c r="H189" s="5">
        <v>1</v>
      </c>
      <c r="I189" s="6">
        <v>0.51</v>
      </c>
      <c r="J189" s="5">
        <v>9</v>
      </c>
      <c r="K189" s="6">
        <v>1.62</v>
      </c>
      <c r="L189" s="5">
        <v>0</v>
      </c>
      <c r="M189" s="6">
        <v>0</v>
      </c>
      <c r="N189" s="5">
        <v>0</v>
      </c>
      <c r="O189" s="6">
        <v>0</v>
      </c>
      <c r="P189" s="5">
        <v>0</v>
      </c>
      <c r="Q189" s="6">
        <v>0</v>
      </c>
      <c r="R189" s="5">
        <v>0</v>
      </c>
      <c r="S189" s="6">
        <v>0</v>
      </c>
      <c r="T189" s="5">
        <v>0</v>
      </c>
      <c r="U189" s="6">
        <v>0</v>
      </c>
      <c r="V189" s="5">
        <v>0</v>
      </c>
      <c r="W189" s="6">
        <v>0</v>
      </c>
      <c r="X189" s="6">
        <f t="shared" si="7"/>
        <v>1</v>
      </c>
      <c r="Y189" s="6">
        <f t="shared" si="7"/>
        <v>0.21</v>
      </c>
    </row>
    <row r="190" spans="1:25" x14ac:dyDescent="0.25">
      <c r="A190" s="2" t="s">
        <v>568</v>
      </c>
      <c r="B190" s="2" t="s">
        <v>569</v>
      </c>
      <c r="C190" s="2" t="s">
        <v>572</v>
      </c>
      <c r="D190" s="5">
        <v>107</v>
      </c>
      <c r="E190" s="6">
        <v>47.66</v>
      </c>
      <c r="F190" s="5">
        <v>108</v>
      </c>
      <c r="G190" s="6">
        <v>48.639999999999993</v>
      </c>
      <c r="H190" s="5">
        <v>105</v>
      </c>
      <c r="I190" s="6">
        <v>47.300000000000004</v>
      </c>
      <c r="J190" s="5">
        <v>104</v>
      </c>
      <c r="K190" s="6">
        <v>46.64</v>
      </c>
      <c r="L190" s="5">
        <v>105</v>
      </c>
      <c r="M190" s="6">
        <v>46.809999999999995</v>
      </c>
      <c r="N190" s="5">
        <v>108</v>
      </c>
      <c r="O190" s="6">
        <v>49.38</v>
      </c>
      <c r="P190" s="5">
        <v>108</v>
      </c>
      <c r="Q190" s="6">
        <v>50</v>
      </c>
      <c r="R190" s="5">
        <v>106</v>
      </c>
      <c r="S190" s="6">
        <v>49.15</v>
      </c>
      <c r="T190" s="5">
        <v>105</v>
      </c>
      <c r="U190" s="6">
        <v>48.639999999999993</v>
      </c>
      <c r="V190" s="5">
        <v>106</v>
      </c>
      <c r="W190" s="6">
        <v>48.809999999999995</v>
      </c>
      <c r="X190" s="6">
        <f t="shared" si="7"/>
        <v>106.2</v>
      </c>
      <c r="Y190" s="6">
        <f t="shared" si="7"/>
        <v>48.3</v>
      </c>
    </row>
    <row r="191" spans="1:25" x14ac:dyDescent="0.25">
      <c r="A191" s="2" t="s">
        <v>568</v>
      </c>
      <c r="B191" s="2" t="s">
        <v>569</v>
      </c>
      <c r="C191" s="2" t="s">
        <v>573</v>
      </c>
      <c r="D191" s="5">
        <v>482</v>
      </c>
      <c r="E191" s="6">
        <v>297.92999999999995</v>
      </c>
      <c r="F191" s="5">
        <v>516</v>
      </c>
      <c r="G191" s="6">
        <v>313.36</v>
      </c>
      <c r="H191" s="5">
        <v>533</v>
      </c>
      <c r="I191" s="6">
        <v>317.16999999999996</v>
      </c>
      <c r="J191" s="5">
        <v>536</v>
      </c>
      <c r="K191" s="6">
        <v>318.61</v>
      </c>
      <c r="L191" s="5">
        <v>540</v>
      </c>
      <c r="M191" s="6">
        <v>321.45000000000005</v>
      </c>
      <c r="N191" s="5">
        <v>523</v>
      </c>
      <c r="O191" s="6">
        <v>312.75</v>
      </c>
      <c r="P191" s="5">
        <v>550</v>
      </c>
      <c r="Q191" s="6">
        <v>323.78999999999996</v>
      </c>
      <c r="R191" s="5">
        <v>561</v>
      </c>
      <c r="S191" s="6">
        <v>325.45999999999998</v>
      </c>
      <c r="T191" s="5">
        <v>560</v>
      </c>
      <c r="U191" s="6">
        <v>322.36000000000007</v>
      </c>
      <c r="V191" s="5">
        <v>550</v>
      </c>
      <c r="W191" s="6">
        <v>314.29999999999995</v>
      </c>
      <c r="X191" s="6">
        <f t="shared" si="7"/>
        <v>535.1</v>
      </c>
      <c r="Y191" s="6">
        <f t="shared" si="7"/>
        <v>316.72000000000003</v>
      </c>
    </row>
    <row r="192" spans="1:25" x14ac:dyDescent="0.25">
      <c r="A192" s="2" t="s">
        <v>327</v>
      </c>
      <c r="B192" s="2" t="s">
        <v>328</v>
      </c>
      <c r="C192" s="2" t="s">
        <v>329</v>
      </c>
      <c r="D192" s="5">
        <v>55</v>
      </c>
      <c r="E192" s="6">
        <v>54.33</v>
      </c>
      <c r="F192" s="5">
        <v>65</v>
      </c>
      <c r="G192" s="6">
        <v>63.4</v>
      </c>
      <c r="H192" s="5">
        <v>76</v>
      </c>
      <c r="I192" s="6">
        <v>73.97</v>
      </c>
      <c r="J192" s="5">
        <v>79</v>
      </c>
      <c r="K192" s="6">
        <v>77.400000000000006</v>
      </c>
      <c r="L192" s="5">
        <v>79</v>
      </c>
      <c r="M192" s="6">
        <v>77.400000000000006</v>
      </c>
      <c r="N192" s="5">
        <v>93</v>
      </c>
      <c r="O192" s="6">
        <v>91.1</v>
      </c>
      <c r="P192" s="5">
        <v>99</v>
      </c>
      <c r="Q192" s="6">
        <v>97.1</v>
      </c>
      <c r="R192" s="5">
        <v>95</v>
      </c>
      <c r="S192" s="6">
        <v>92.21</v>
      </c>
      <c r="T192" s="5">
        <v>96</v>
      </c>
      <c r="U192" s="6">
        <v>93.88</v>
      </c>
      <c r="V192" s="5">
        <v>97</v>
      </c>
      <c r="W192" s="6">
        <v>94.12</v>
      </c>
      <c r="X192" s="6">
        <f t="shared" si="7"/>
        <v>83.4</v>
      </c>
      <c r="Y192" s="6">
        <f t="shared" si="7"/>
        <v>81.489999999999995</v>
      </c>
    </row>
    <row r="193" spans="1:25" x14ac:dyDescent="0.25">
      <c r="A193" s="2" t="s">
        <v>327</v>
      </c>
      <c r="B193" s="2" t="s">
        <v>328</v>
      </c>
      <c r="C193" s="2" t="s">
        <v>330</v>
      </c>
      <c r="D193" s="5">
        <v>3822</v>
      </c>
      <c r="E193" s="6">
        <v>3699.6600000000017</v>
      </c>
      <c r="F193" s="5">
        <v>4287</v>
      </c>
      <c r="G193" s="6">
        <v>4132.3900000000003</v>
      </c>
      <c r="H193" s="5">
        <v>4433</v>
      </c>
      <c r="I193" s="6">
        <v>4270.5599999999995</v>
      </c>
      <c r="J193" s="5">
        <v>4511</v>
      </c>
      <c r="K193" s="6">
        <v>4340.8599999999988</v>
      </c>
      <c r="L193" s="5">
        <v>4495</v>
      </c>
      <c r="M193" s="6">
        <v>4324.49</v>
      </c>
      <c r="N193" s="5">
        <v>4665</v>
      </c>
      <c r="O193" s="6">
        <v>4478.9599999999973</v>
      </c>
      <c r="P193" s="5">
        <v>4691</v>
      </c>
      <c r="Q193" s="6">
        <v>4498.4599999999973</v>
      </c>
      <c r="R193" s="5">
        <v>4868</v>
      </c>
      <c r="S193" s="6">
        <v>4671.6699999999992</v>
      </c>
      <c r="T193" s="5">
        <v>4729</v>
      </c>
      <c r="U193" s="6">
        <v>4528.4299999999985</v>
      </c>
      <c r="V193" s="5">
        <v>4686</v>
      </c>
      <c r="W193" s="6">
        <v>4491.659999999998</v>
      </c>
      <c r="X193" s="6">
        <f t="shared" si="7"/>
        <v>4518.7</v>
      </c>
      <c r="Y193" s="6">
        <f t="shared" si="7"/>
        <v>4343.71</v>
      </c>
    </row>
    <row r="194" spans="1:25" x14ac:dyDescent="0.25">
      <c r="A194" s="2" t="s">
        <v>299</v>
      </c>
      <c r="B194" s="2" t="s">
        <v>300</v>
      </c>
      <c r="C194" s="2" t="s">
        <v>301</v>
      </c>
      <c r="D194" s="5">
        <v>16</v>
      </c>
      <c r="E194" s="6">
        <v>15.6</v>
      </c>
      <c r="F194" s="5">
        <v>21</v>
      </c>
      <c r="G194" s="6">
        <v>20.6</v>
      </c>
      <c r="H194" s="5">
        <v>20</v>
      </c>
      <c r="I194" s="6">
        <v>19.600000000000001</v>
      </c>
      <c r="J194" s="5">
        <v>21</v>
      </c>
      <c r="K194" s="6">
        <v>18.66</v>
      </c>
      <c r="L194" s="5">
        <v>22</v>
      </c>
      <c r="M194" s="6">
        <v>19.350000000000001</v>
      </c>
      <c r="N194" s="5">
        <v>29</v>
      </c>
      <c r="O194" s="6">
        <v>24.56</v>
      </c>
      <c r="P194" s="5">
        <v>40</v>
      </c>
      <c r="Q194" s="6">
        <v>30.72</v>
      </c>
      <c r="R194" s="5">
        <v>41</v>
      </c>
      <c r="S194" s="6">
        <v>31.48</v>
      </c>
      <c r="T194" s="5">
        <v>42</v>
      </c>
      <c r="U194" s="6">
        <v>32.72</v>
      </c>
      <c r="V194" s="5">
        <v>42</v>
      </c>
      <c r="W194" s="6">
        <v>33.57</v>
      </c>
      <c r="X194" s="6">
        <f t="shared" si="7"/>
        <v>29.4</v>
      </c>
      <c r="Y194" s="6">
        <f t="shared" si="7"/>
        <v>24.69</v>
      </c>
    </row>
    <row r="195" spans="1:25" x14ac:dyDescent="0.25">
      <c r="A195" s="2" t="s">
        <v>398</v>
      </c>
      <c r="B195" s="2" t="s">
        <v>399</v>
      </c>
      <c r="C195" s="2" t="s">
        <v>400</v>
      </c>
      <c r="D195" s="5">
        <v>328</v>
      </c>
      <c r="E195" s="6">
        <v>323.26000000000005</v>
      </c>
      <c r="F195" s="5">
        <v>339</v>
      </c>
      <c r="G195" s="6">
        <v>333.5800000000001</v>
      </c>
      <c r="H195" s="5">
        <v>338</v>
      </c>
      <c r="I195" s="6">
        <v>331.88</v>
      </c>
      <c r="J195" s="5">
        <v>338</v>
      </c>
      <c r="K195" s="6">
        <v>332.66000000000008</v>
      </c>
      <c r="L195" s="5">
        <v>334</v>
      </c>
      <c r="M195" s="6">
        <v>328.26</v>
      </c>
      <c r="N195" s="5">
        <v>334</v>
      </c>
      <c r="O195" s="6">
        <v>326.90000000000003</v>
      </c>
      <c r="P195" s="5">
        <v>336</v>
      </c>
      <c r="Q195" s="6">
        <v>329.42000000000007</v>
      </c>
      <c r="R195" s="5">
        <v>327</v>
      </c>
      <c r="S195" s="6">
        <v>321.02</v>
      </c>
      <c r="T195" s="5">
        <v>324</v>
      </c>
      <c r="U195" s="6">
        <v>318.5</v>
      </c>
      <c r="V195" s="5">
        <v>319</v>
      </c>
      <c r="W195" s="6">
        <v>313.3</v>
      </c>
      <c r="X195" s="6">
        <f t="shared" si="7"/>
        <v>331.7</v>
      </c>
      <c r="Y195" s="6">
        <f t="shared" si="7"/>
        <v>325.88</v>
      </c>
    </row>
    <row r="196" spans="1:25" x14ac:dyDescent="0.25">
      <c r="A196" s="2" t="s">
        <v>347</v>
      </c>
      <c r="B196" s="2" t="s">
        <v>348</v>
      </c>
      <c r="C196" s="2" t="s">
        <v>349</v>
      </c>
      <c r="D196" s="5">
        <v>14</v>
      </c>
      <c r="E196" s="6">
        <v>10.47</v>
      </c>
      <c r="F196" s="5">
        <v>15</v>
      </c>
      <c r="G196" s="6">
        <v>11.57</v>
      </c>
      <c r="H196" s="5">
        <v>15</v>
      </c>
      <c r="I196" s="6">
        <v>11.57</v>
      </c>
      <c r="J196" s="5">
        <v>17</v>
      </c>
      <c r="K196" s="6">
        <v>13.57</v>
      </c>
      <c r="L196" s="5">
        <v>17</v>
      </c>
      <c r="M196" s="6">
        <v>13.62</v>
      </c>
      <c r="N196" s="5">
        <v>19</v>
      </c>
      <c r="O196" s="6">
        <v>15</v>
      </c>
      <c r="P196" s="5">
        <v>19</v>
      </c>
      <c r="Q196" s="6">
        <v>15</v>
      </c>
      <c r="R196" s="5">
        <v>21</v>
      </c>
      <c r="S196" s="6">
        <v>17</v>
      </c>
      <c r="T196" s="5">
        <v>19</v>
      </c>
      <c r="U196" s="6">
        <v>16.02</v>
      </c>
      <c r="V196" s="5">
        <v>18</v>
      </c>
      <c r="W196" s="6">
        <v>15.02</v>
      </c>
      <c r="X196" s="6">
        <f t="shared" si="7"/>
        <v>17.399999999999999</v>
      </c>
      <c r="Y196" s="6">
        <f t="shared" si="7"/>
        <v>13.88</v>
      </c>
    </row>
    <row r="197" spans="1:25" x14ac:dyDescent="0.25">
      <c r="A197" s="2" t="s">
        <v>379</v>
      </c>
      <c r="B197" s="2" t="s">
        <v>380</v>
      </c>
      <c r="C197" s="2" t="s">
        <v>215</v>
      </c>
      <c r="D197" s="5">
        <v>12</v>
      </c>
      <c r="E197" s="6">
        <v>12</v>
      </c>
      <c r="F197" s="5">
        <v>13</v>
      </c>
      <c r="G197" s="6">
        <v>13</v>
      </c>
      <c r="H197" s="5">
        <v>16</v>
      </c>
      <c r="I197" s="6">
        <v>16</v>
      </c>
      <c r="J197" s="5">
        <v>17</v>
      </c>
      <c r="K197" s="6">
        <v>17</v>
      </c>
      <c r="L197" s="5">
        <v>17</v>
      </c>
      <c r="M197" s="6">
        <v>17</v>
      </c>
      <c r="N197" s="5">
        <v>17</v>
      </c>
      <c r="O197" s="6">
        <v>17</v>
      </c>
      <c r="P197" s="5">
        <v>16</v>
      </c>
      <c r="Q197" s="6">
        <v>16</v>
      </c>
      <c r="R197" s="5">
        <v>18</v>
      </c>
      <c r="S197" s="6">
        <v>18</v>
      </c>
      <c r="T197" s="5">
        <v>20</v>
      </c>
      <c r="U197" s="6">
        <v>20</v>
      </c>
      <c r="V197" s="5">
        <v>17</v>
      </c>
      <c r="W197" s="6">
        <v>17</v>
      </c>
      <c r="X197" s="6">
        <f t="shared" si="7"/>
        <v>16.3</v>
      </c>
      <c r="Y197" s="6">
        <f t="shared" si="7"/>
        <v>16.3</v>
      </c>
    </row>
    <row r="198" spans="1:25" x14ac:dyDescent="0.25">
      <c r="A198" s="2" t="s">
        <v>14</v>
      </c>
      <c r="B198" s="2" t="s">
        <v>15</v>
      </c>
      <c r="C198" s="2" t="s">
        <v>16</v>
      </c>
      <c r="D198" s="5">
        <v>23</v>
      </c>
      <c r="E198" s="6">
        <v>23</v>
      </c>
      <c r="F198" s="5">
        <v>51</v>
      </c>
      <c r="G198" s="6">
        <v>50.32</v>
      </c>
      <c r="H198" s="5">
        <v>54</v>
      </c>
      <c r="I198" s="6">
        <v>51.58</v>
      </c>
      <c r="J198" s="5">
        <v>43</v>
      </c>
      <c r="K198" s="6">
        <v>40.020000000000003</v>
      </c>
      <c r="L198" s="5">
        <v>50</v>
      </c>
      <c r="M198" s="6">
        <v>46.9</v>
      </c>
      <c r="N198" s="5">
        <v>51</v>
      </c>
      <c r="O198" s="6">
        <v>46.37</v>
      </c>
      <c r="P198" s="5">
        <v>51</v>
      </c>
      <c r="Q198" s="6">
        <v>48.15</v>
      </c>
      <c r="R198" s="5">
        <v>34</v>
      </c>
      <c r="S198" s="6">
        <v>32.270000000000003</v>
      </c>
      <c r="T198" s="5">
        <v>34</v>
      </c>
      <c r="U198" s="6">
        <v>30.22</v>
      </c>
      <c r="V198" s="5">
        <v>33</v>
      </c>
      <c r="W198" s="6">
        <v>27.17</v>
      </c>
      <c r="X198" s="6">
        <f t="shared" ref="X198:Y261" si="8">ROUND((R198+P198+N198+L198+J198+H198+D198+F198+T198+V198)/10,2)</f>
        <v>42.4</v>
      </c>
      <c r="Y198" s="6">
        <f t="shared" si="8"/>
        <v>39.6</v>
      </c>
    </row>
    <row r="199" spans="1:25" x14ac:dyDescent="0.25">
      <c r="A199" s="2" t="s">
        <v>125</v>
      </c>
      <c r="B199" s="2" t="s">
        <v>126</v>
      </c>
      <c r="C199" s="2" t="s">
        <v>127</v>
      </c>
      <c r="D199" s="5">
        <v>235</v>
      </c>
      <c r="E199" s="6">
        <v>157.55000000000001</v>
      </c>
      <c r="F199" s="5">
        <v>312</v>
      </c>
      <c r="G199" s="6">
        <v>195.75</v>
      </c>
      <c r="H199" s="5">
        <v>307</v>
      </c>
      <c r="I199" s="6">
        <v>194.75</v>
      </c>
      <c r="J199" s="5">
        <v>368</v>
      </c>
      <c r="K199" s="6">
        <v>227.9</v>
      </c>
      <c r="L199" s="5">
        <v>373</v>
      </c>
      <c r="M199" s="6">
        <v>232.7</v>
      </c>
      <c r="N199" s="5">
        <v>418</v>
      </c>
      <c r="O199" s="6">
        <v>249.2</v>
      </c>
      <c r="P199" s="5">
        <v>415</v>
      </c>
      <c r="Q199" s="6">
        <v>246.35</v>
      </c>
      <c r="R199" s="5">
        <v>442</v>
      </c>
      <c r="S199" s="6">
        <v>270.7</v>
      </c>
      <c r="T199" s="5">
        <v>424</v>
      </c>
      <c r="U199" s="6">
        <v>265.45</v>
      </c>
      <c r="V199" s="5">
        <v>423</v>
      </c>
      <c r="W199" s="6">
        <v>265.34999999999997</v>
      </c>
      <c r="X199" s="6">
        <f t="shared" si="8"/>
        <v>371.7</v>
      </c>
      <c r="Y199" s="6">
        <f t="shared" si="8"/>
        <v>230.57</v>
      </c>
    </row>
    <row r="200" spans="1:25" x14ac:dyDescent="0.25">
      <c r="A200" s="2" t="s">
        <v>338</v>
      </c>
      <c r="B200" s="2" t="s">
        <v>339</v>
      </c>
      <c r="C200" s="2" t="s">
        <v>340</v>
      </c>
      <c r="D200" s="5">
        <v>1</v>
      </c>
      <c r="E200" s="6">
        <v>1</v>
      </c>
      <c r="F200" s="5">
        <v>2</v>
      </c>
      <c r="G200" s="6">
        <v>2</v>
      </c>
      <c r="H200" s="5">
        <v>3</v>
      </c>
      <c r="I200" s="6">
        <v>3</v>
      </c>
      <c r="J200" s="5">
        <v>3</v>
      </c>
      <c r="K200" s="6">
        <v>3</v>
      </c>
      <c r="L200" s="5">
        <v>3</v>
      </c>
      <c r="M200" s="6">
        <v>3</v>
      </c>
      <c r="N200" s="5">
        <v>3</v>
      </c>
      <c r="O200" s="6">
        <v>2.9299999999999997</v>
      </c>
      <c r="P200" s="5">
        <v>4</v>
      </c>
      <c r="Q200" s="6">
        <v>3.93</v>
      </c>
      <c r="R200" s="5">
        <v>5</v>
      </c>
      <c r="S200" s="6">
        <v>4.78</v>
      </c>
      <c r="T200" s="5">
        <v>5</v>
      </c>
      <c r="U200" s="6">
        <v>4.78</v>
      </c>
      <c r="V200" s="5">
        <v>4</v>
      </c>
      <c r="W200" s="6">
        <v>3.7800000000000002</v>
      </c>
      <c r="X200" s="6">
        <f t="shared" si="8"/>
        <v>3.3</v>
      </c>
      <c r="Y200" s="6">
        <f t="shared" si="8"/>
        <v>3.22</v>
      </c>
    </row>
    <row r="201" spans="1:25" x14ac:dyDescent="0.25">
      <c r="A201" s="2" t="s">
        <v>47</v>
      </c>
      <c r="B201" s="2" t="s">
        <v>48</v>
      </c>
      <c r="C201" s="2" t="s">
        <v>49</v>
      </c>
      <c r="D201" s="5">
        <v>319</v>
      </c>
      <c r="E201" s="6">
        <v>269.05</v>
      </c>
      <c r="F201" s="5">
        <v>347</v>
      </c>
      <c r="G201" s="6">
        <v>285.64</v>
      </c>
      <c r="H201" s="5">
        <v>356</v>
      </c>
      <c r="I201" s="6">
        <v>296.78999999999996</v>
      </c>
      <c r="J201" s="5">
        <v>373</v>
      </c>
      <c r="K201" s="6">
        <v>308.98999999999995</v>
      </c>
      <c r="L201" s="5">
        <v>384</v>
      </c>
      <c r="M201" s="6">
        <v>325.93</v>
      </c>
      <c r="N201" s="5">
        <v>431</v>
      </c>
      <c r="O201" s="6">
        <v>356.4</v>
      </c>
      <c r="P201" s="5">
        <v>469</v>
      </c>
      <c r="Q201" s="6">
        <v>382.34999999999997</v>
      </c>
      <c r="R201" s="5">
        <v>476</v>
      </c>
      <c r="S201" s="6">
        <v>379.98999999999995</v>
      </c>
      <c r="T201" s="5">
        <v>488</v>
      </c>
      <c r="U201" s="6">
        <v>392.12</v>
      </c>
      <c r="V201" s="5">
        <v>490</v>
      </c>
      <c r="W201" s="6">
        <v>395.76</v>
      </c>
      <c r="X201" s="6">
        <f t="shared" si="8"/>
        <v>413.3</v>
      </c>
      <c r="Y201" s="6">
        <f t="shared" si="8"/>
        <v>339.3</v>
      </c>
    </row>
    <row r="202" spans="1:25" x14ac:dyDescent="0.25">
      <c r="A202" s="2" t="s">
        <v>188</v>
      </c>
      <c r="B202" s="2" t="s">
        <v>189</v>
      </c>
      <c r="C202" s="2" t="s">
        <v>190</v>
      </c>
      <c r="D202" s="5">
        <v>142</v>
      </c>
      <c r="E202" s="6">
        <v>137.81</v>
      </c>
      <c r="F202" s="5">
        <v>148</v>
      </c>
      <c r="G202" s="6">
        <v>143.35999999999999</v>
      </c>
      <c r="H202" s="5">
        <v>147</v>
      </c>
      <c r="I202" s="6">
        <v>142.42000000000002</v>
      </c>
      <c r="J202" s="5">
        <v>150</v>
      </c>
      <c r="K202" s="6">
        <v>142.70000000000002</v>
      </c>
      <c r="L202" s="5">
        <v>154</v>
      </c>
      <c r="M202" s="6">
        <v>145.81</v>
      </c>
      <c r="N202" s="5">
        <v>154</v>
      </c>
      <c r="O202" s="6">
        <v>144.48000000000002</v>
      </c>
      <c r="P202" s="5">
        <v>154</v>
      </c>
      <c r="Q202" s="6">
        <v>144.44000000000003</v>
      </c>
      <c r="R202" s="5">
        <v>153</v>
      </c>
      <c r="S202" s="6">
        <v>141.25</v>
      </c>
      <c r="T202" s="5">
        <v>153</v>
      </c>
      <c r="U202" s="6">
        <v>141.25</v>
      </c>
      <c r="V202" s="5">
        <v>152</v>
      </c>
      <c r="W202" s="6">
        <v>140.10999999999999</v>
      </c>
      <c r="X202" s="6">
        <f t="shared" si="8"/>
        <v>150.69999999999999</v>
      </c>
      <c r="Y202" s="6">
        <f t="shared" si="8"/>
        <v>142.36000000000001</v>
      </c>
    </row>
    <row r="203" spans="1:25" x14ac:dyDescent="0.25">
      <c r="A203" s="2" t="s">
        <v>26</v>
      </c>
      <c r="B203" s="2" t="s">
        <v>27</v>
      </c>
      <c r="C203" s="2" t="s">
        <v>28</v>
      </c>
      <c r="D203" s="5">
        <v>24</v>
      </c>
      <c r="E203" s="6">
        <v>24</v>
      </c>
      <c r="F203" s="5">
        <v>33</v>
      </c>
      <c r="G203" s="6">
        <v>33</v>
      </c>
      <c r="H203" s="5">
        <v>39</v>
      </c>
      <c r="I203" s="6">
        <v>39</v>
      </c>
      <c r="J203" s="5">
        <v>39</v>
      </c>
      <c r="K203" s="6">
        <v>39</v>
      </c>
      <c r="L203" s="5">
        <v>42</v>
      </c>
      <c r="M203" s="6">
        <v>42</v>
      </c>
      <c r="N203" s="5">
        <v>46</v>
      </c>
      <c r="O203" s="6">
        <v>46</v>
      </c>
      <c r="P203" s="5">
        <v>51</v>
      </c>
      <c r="Q203" s="6">
        <v>51</v>
      </c>
      <c r="R203" s="5">
        <v>52</v>
      </c>
      <c r="S203" s="6">
        <v>52</v>
      </c>
      <c r="T203" s="5">
        <v>51</v>
      </c>
      <c r="U203" s="6">
        <v>51</v>
      </c>
      <c r="V203" s="5">
        <v>53</v>
      </c>
      <c r="W203" s="6">
        <v>53</v>
      </c>
      <c r="X203" s="6">
        <f t="shared" si="8"/>
        <v>43</v>
      </c>
      <c r="Y203" s="6">
        <f t="shared" si="8"/>
        <v>43</v>
      </c>
    </row>
    <row r="204" spans="1:25" x14ac:dyDescent="0.25">
      <c r="A204" s="2" t="s">
        <v>612</v>
      </c>
      <c r="B204" s="2" t="s">
        <v>613</v>
      </c>
      <c r="C204" s="2" t="s">
        <v>614</v>
      </c>
      <c r="D204" s="5">
        <v>8</v>
      </c>
      <c r="E204" s="6">
        <v>3.55</v>
      </c>
      <c r="F204" s="5">
        <v>10</v>
      </c>
      <c r="G204" s="6">
        <v>4.38</v>
      </c>
      <c r="H204" s="5">
        <v>12</v>
      </c>
      <c r="I204" s="6">
        <v>4.8899999999999997</v>
      </c>
      <c r="J204" s="5">
        <v>12</v>
      </c>
      <c r="K204" s="6">
        <v>4.63</v>
      </c>
      <c r="L204" s="5">
        <v>13</v>
      </c>
      <c r="M204" s="6">
        <v>4.97</v>
      </c>
      <c r="N204" s="5">
        <v>25</v>
      </c>
      <c r="O204" s="6">
        <v>7.6</v>
      </c>
      <c r="P204" s="5">
        <v>25</v>
      </c>
      <c r="Q204" s="6">
        <v>7.61</v>
      </c>
      <c r="R204" s="5">
        <v>26</v>
      </c>
      <c r="S204" s="6">
        <v>8.6199999999999992</v>
      </c>
      <c r="T204" s="5">
        <v>26</v>
      </c>
      <c r="U204" s="6">
        <v>8.7899999999999991</v>
      </c>
      <c r="V204" s="5">
        <v>14</v>
      </c>
      <c r="W204" s="6">
        <v>5.56</v>
      </c>
      <c r="X204" s="6">
        <f t="shared" si="8"/>
        <v>17.100000000000001</v>
      </c>
      <c r="Y204" s="6">
        <f t="shared" si="8"/>
        <v>6.06</v>
      </c>
    </row>
    <row r="205" spans="1:25" x14ac:dyDescent="0.25">
      <c r="A205" s="2" t="s">
        <v>366</v>
      </c>
      <c r="B205" s="2" t="s">
        <v>367</v>
      </c>
      <c r="C205" s="2" t="s">
        <v>368</v>
      </c>
      <c r="D205" s="5">
        <v>94</v>
      </c>
      <c r="E205" s="6">
        <v>94</v>
      </c>
      <c r="F205" s="5">
        <v>97</v>
      </c>
      <c r="G205" s="6">
        <v>97</v>
      </c>
      <c r="H205" s="5">
        <v>102</v>
      </c>
      <c r="I205" s="6">
        <v>101.12</v>
      </c>
      <c r="J205" s="5">
        <v>102</v>
      </c>
      <c r="K205" s="6">
        <v>101.12</v>
      </c>
      <c r="L205" s="5">
        <v>103</v>
      </c>
      <c r="M205" s="6">
        <v>102.12</v>
      </c>
      <c r="N205" s="5">
        <v>101</v>
      </c>
      <c r="O205" s="6">
        <v>100.12</v>
      </c>
      <c r="P205" s="5">
        <v>103</v>
      </c>
      <c r="Q205" s="6">
        <v>102.12</v>
      </c>
      <c r="R205" s="5">
        <v>108</v>
      </c>
      <c r="S205" s="6">
        <v>106.17</v>
      </c>
      <c r="T205" s="5">
        <v>113</v>
      </c>
      <c r="U205" s="6">
        <v>111.96</v>
      </c>
      <c r="V205" s="5">
        <v>110</v>
      </c>
      <c r="W205" s="6">
        <v>108.96</v>
      </c>
      <c r="X205" s="6">
        <f t="shared" si="8"/>
        <v>103.3</v>
      </c>
      <c r="Y205" s="6">
        <f t="shared" si="8"/>
        <v>102.47</v>
      </c>
    </row>
    <row r="206" spans="1:25" x14ac:dyDescent="0.25">
      <c r="A206" s="2" t="s">
        <v>366</v>
      </c>
      <c r="B206" s="2" t="s">
        <v>367</v>
      </c>
      <c r="C206" s="2" t="s">
        <v>369</v>
      </c>
      <c r="D206" s="5">
        <v>194</v>
      </c>
      <c r="E206" s="6">
        <v>186.8</v>
      </c>
      <c r="F206" s="5">
        <v>217</v>
      </c>
      <c r="G206" s="6">
        <v>197.86</v>
      </c>
      <c r="H206" s="5">
        <v>246</v>
      </c>
      <c r="I206" s="6">
        <v>225.37</v>
      </c>
      <c r="J206" s="5">
        <v>259</v>
      </c>
      <c r="K206" s="6">
        <v>237.62</v>
      </c>
      <c r="L206" s="5">
        <v>260</v>
      </c>
      <c r="M206" s="6">
        <v>238.98000000000002</v>
      </c>
      <c r="N206" s="5">
        <v>266</v>
      </c>
      <c r="O206" s="6">
        <v>242.06000000000003</v>
      </c>
      <c r="P206" s="5">
        <v>286</v>
      </c>
      <c r="Q206" s="6">
        <v>260.41000000000003</v>
      </c>
      <c r="R206" s="5">
        <v>297</v>
      </c>
      <c r="S206" s="6">
        <v>270.16999999999996</v>
      </c>
      <c r="T206" s="5">
        <v>294</v>
      </c>
      <c r="U206" s="6">
        <v>277.99999999999994</v>
      </c>
      <c r="V206" s="5">
        <v>285</v>
      </c>
      <c r="W206" s="6">
        <v>268.92999999999995</v>
      </c>
      <c r="X206" s="6">
        <f t="shared" si="8"/>
        <v>260.39999999999998</v>
      </c>
      <c r="Y206" s="6">
        <f t="shared" si="8"/>
        <v>240.62</v>
      </c>
    </row>
    <row r="207" spans="1:25" x14ac:dyDescent="0.25">
      <c r="A207" s="2" t="s">
        <v>182</v>
      </c>
      <c r="B207" s="2" t="s">
        <v>183</v>
      </c>
      <c r="C207" s="2" t="s">
        <v>184</v>
      </c>
      <c r="D207" s="5">
        <v>538</v>
      </c>
      <c r="E207" s="6">
        <v>469.2999999999999</v>
      </c>
      <c r="F207" s="5">
        <v>537</v>
      </c>
      <c r="G207" s="6">
        <v>468.19999999999982</v>
      </c>
      <c r="H207" s="5">
        <v>537</v>
      </c>
      <c r="I207" s="6">
        <v>468.19999999999987</v>
      </c>
      <c r="J207" s="5">
        <v>533</v>
      </c>
      <c r="K207" s="6">
        <v>464</v>
      </c>
      <c r="L207" s="5">
        <v>538</v>
      </c>
      <c r="M207" s="6">
        <v>467.2999999999999</v>
      </c>
      <c r="N207" s="5">
        <v>534</v>
      </c>
      <c r="O207" s="6">
        <v>461.99999999999989</v>
      </c>
      <c r="P207" s="5">
        <v>532</v>
      </c>
      <c r="Q207" s="6">
        <v>459.99999999999989</v>
      </c>
      <c r="R207" s="5">
        <v>532</v>
      </c>
      <c r="S207" s="6">
        <v>458.69999999999993</v>
      </c>
      <c r="T207" s="5">
        <v>527</v>
      </c>
      <c r="U207" s="6">
        <v>455.2</v>
      </c>
      <c r="V207" s="5">
        <v>527</v>
      </c>
      <c r="W207" s="6">
        <v>455.2</v>
      </c>
      <c r="X207" s="6">
        <f t="shared" si="8"/>
        <v>533.5</v>
      </c>
      <c r="Y207" s="6">
        <f t="shared" si="8"/>
        <v>462.81</v>
      </c>
    </row>
    <row r="208" spans="1:25" x14ac:dyDescent="0.25">
      <c r="A208" s="2" t="s">
        <v>57</v>
      </c>
      <c r="B208" s="2" t="s">
        <v>58</v>
      </c>
      <c r="C208" s="2" t="s">
        <v>59</v>
      </c>
      <c r="D208" s="5">
        <v>42</v>
      </c>
      <c r="E208" s="6">
        <v>42</v>
      </c>
      <c r="F208" s="5">
        <v>45</v>
      </c>
      <c r="G208" s="6">
        <v>45</v>
      </c>
      <c r="H208" s="5">
        <v>46</v>
      </c>
      <c r="I208" s="6">
        <v>44.65</v>
      </c>
      <c r="J208" s="5">
        <v>46</v>
      </c>
      <c r="K208" s="6">
        <v>44.3</v>
      </c>
      <c r="L208" s="5">
        <v>45</v>
      </c>
      <c r="M208" s="6">
        <v>43.48</v>
      </c>
      <c r="N208" s="5">
        <v>47</v>
      </c>
      <c r="O208" s="6">
        <v>46.18</v>
      </c>
      <c r="P208" s="5">
        <v>48</v>
      </c>
      <c r="Q208" s="6">
        <v>47.18</v>
      </c>
      <c r="R208" s="5">
        <v>46</v>
      </c>
      <c r="S208" s="6">
        <v>45.18</v>
      </c>
      <c r="T208" s="5">
        <v>46</v>
      </c>
      <c r="U208" s="6">
        <v>45.18</v>
      </c>
      <c r="V208" s="5">
        <v>45</v>
      </c>
      <c r="W208" s="6">
        <v>44.18</v>
      </c>
      <c r="X208" s="6">
        <f t="shared" si="8"/>
        <v>45.6</v>
      </c>
      <c r="Y208" s="6">
        <f t="shared" si="8"/>
        <v>44.73</v>
      </c>
    </row>
    <row r="209" spans="1:25" x14ac:dyDescent="0.25">
      <c r="A209" s="2" t="s">
        <v>57</v>
      </c>
      <c r="B209" s="2" t="s">
        <v>58</v>
      </c>
      <c r="C209" s="2" t="s">
        <v>60</v>
      </c>
      <c r="D209" s="5">
        <v>2677</v>
      </c>
      <c r="E209" s="6">
        <v>2445.9899999999998</v>
      </c>
      <c r="F209" s="5">
        <v>2883</v>
      </c>
      <c r="G209" s="6">
        <v>2743.5600000000013</v>
      </c>
      <c r="H209" s="5">
        <v>2934</v>
      </c>
      <c r="I209" s="6">
        <v>2783.5900000000011</v>
      </c>
      <c r="J209" s="5">
        <v>3081</v>
      </c>
      <c r="K209" s="6">
        <v>2833.3000000000011</v>
      </c>
      <c r="L209" s="5">
        <v>3020</v>
      </c>
      <c r="M209" s="6">
        <v>2861.3200000000006</v>
      </c>
      <c r="N209" s="5">
        <v>3226</v>
      </c>
      <c r="O209" s="6">
        <v>3009.3600000000015</v>
      </c>
      <c r="P209" s="5">
        <v>3413</v>
      </c>
      <c r="Q209" s="6">
        <v>3229.8500000000013</v>
      </c>
      <c r="R209" s="5">
        <v>3554</v>
      </c>
      <c r="S209" s="6">
        <v>3334.2600000000011</v>
      </c>
      <c r="T209" s="5">
        <v>3663</v>
      </c>
      <c r="U209" s="6">
        <v>3390.6700000000014</v>
      </c>
      <c r="V209" s="5">
        <v>3630</v>
      </c>
      <c r="W209" s="6">
        <v>3356.9300000000007</v>
      </c>
      <c r="X209" s="6">
        <f t="shared" si="8"/>
        <v>3208.1</v>
      </c>
      <c r="Y209" s="6">
        <f t="shared" si="8"/>
        <v>2998.88</v>
      </c>
    </row>
    <row r="210" spans="1:25" x14ac:dyDescent="0.25">
      <c r="A210" s="2" t="s">
        <v>164</v>
      </c>
      <c r="B210" s="2" t="s">
        <v>165</v>
      </c>
      <c r="C210" s="2" t="s">
        <v>166</v>
      </c>
      <c r="D210" s="5">
        <v>9</v>
      </c>
      <c r="E210" s="6">
        <v>9</v>
      </c>
      <c r="F210" s="5">
        <v>11</v>
      </c>
      <c r="G210" s="6">
        <v>11</v>
      </c>
      <c r="H210" s="5">
        <v>11</v>
      </c>
      <c r="I210" s="6">
        <v>11</v>
      </c>
      <c r="J210" s="5">
        <v>10</v>
      </c>
      <c r="K210" s="6">
        <v>10</v>
      </c>
      <c r="L210" s="5">
        <v>11</v>
      </c>
      <c r="M210" s="6">
        <v>11</v>
      </c>
      <c r="N210" s="5">
        <v>14</v>
      </c>
      <c r="O210" s="6">
        <v>13.57</v>
      </c>
      <c r="P210" s="5">
        <v>13</v>
      </c>
      <c r="Q210" s="6">
        <v>13</v>
      </c>
      <c r="R210" s="5">
        <v>13</v>
      </c>
      <c r="S210" s="6">
        <v>12.29</v>
      </c>
      <c r="T210" s="5">
        <v>13</v>
      </c>
      <c r="U210" s="6">
        <v>12.29</v>
      </c>
      <c r="V210" s="5">
        <v>12</v>
      </c>
      <c r="W210" s="6">
        <v>11.29</v>
      </c>
      <c r="X210" s="6">
        <f t="shared" si="8"/>
        <v>11.7</v>
      </c>
      <c r="Y210" s="6">
        <f t="shared" si="8"/>
        <v>11.44</v>
      </c>
    </row>
    <row r="211" spans="1:25" x14ac:dyDescent="0.25">
      <c r="A211" s="2" t="s">
        <v>134</v>
      </c>
      <c r="B211" s="2" t="s">
        <v>135</v>
      </c>
      <c r="C211" s="2" t="s">
        <v>136</v>
      </c>
      <c r="D211" s="5">
        <v>108</v>
      </c>
      <c r="E211" s="6">
        <v>105.15</v>
      </c>
      <c r="F211" s="5">
        <v>120</v>
      </c>
      <c r="G211" s="6">
        <v>117</v>
      </c>
      <c r="H211" s="5">
        <v>133</v>
      </c>
      <c r="I211" s="6">
        <v>129.85</v>
      </c>
      <c r="J211" s="5">
        <v>140</v>
      </c>
      <c r="K211" s="6">
        <v>136.69999999999999</v>
      </c>
      <c r="L211" s="5">
        <v>151</v>
      </c>
      <c r="M211" s="6">
        <v>144.5</v>
      </c>
      <c r="N211" s="5">
        <v>169</v>
      </c>
      <c r="O211" s="6">
        <v>161.80000000000001</v>
      </c>
      <c r="P211" s="5">
        <v>165</v>
      </c>
      <c r="Q211" s="6">
        <v>158.30000000000001</v>
      </c>
      <c r="R211" s="5">
        <v>165</v>
      </c>
      <c r="S211" s="6">
        <v>157.75</v>
      </c>
      <c r="T211" s="5">
        <v>169</v>
      </c>
      <c r="U211" s="6">
        <v>161.6</v>
      </c>
      <c r="V211" s="5">
        <v>169</v>
      </c>
      <c r="W211" s="6">
        <v>161.75</v>
      </c>
      <c r="X211" s="6">
        <f t="shared" si="8"/>
        <v>148.9</v>
      </c>
      <c r="Y211" s="6">
        <f t="shared" si="8"/>
        <v>143.44</v>
      </c>
    </row>
    <row r="212" spans="1:25" x14ac:dyDescent="0.25">
      <c r="A212" s="2" t="s">
        <v>309</v>
      </c>
      <c r="B212" s="2" t="s">
        <v>310</v>
      </c>
      <c r="C212" s="2" t="s">
        <v>311</v>
      </c>
      <c r="D212" s="5">
        <v>72</v>
      </c>
      <c r="E212" s="6">
        <v>62.44</v>
      </c>
      <c r="F212" s="5">
        <v>73</v>
      </c>
      <c r="G212" s="6">
        <v>63.14</v>
      </c>
      <c r="H212" s="5">
        <v>72</v>
      </c>
      <c r="I212" s="6">
        <v>62.89</v>
      </c>
      <c r="J212" s="5">
        <v>72</v>
      </c>
      <c r="K212" s="6">
        <v>62.89</v>
      </c>
      <c r="L212" s="5">
        <v>64</v>
      </c>
      <c r="M212" s="6">
        <v>54.89</v>
      </c>
      <c r="N212" s="5">
        <v>69</v>
      </c>
      <c r="O212" s="6">
        <v>59.94</v>
      </c>
      <c r="P212" s="5">
        <v>69</v>
      </c>
      <c r="Q212" s="6">
        <v>60.34</v>
      </c>
      <c r="R212" s="5">
        <v>70</v>
      </c>
      <c r="S212" s="6">
        <v>61.34</v>
      </c>
      <c r="T212" s="5">
        <v>74</v>
      </c>
      <c r="U212" s="6">
        <v>64.740000000000009</v>
      </c>
      <c r="V212" s="5">
        <v>75</v>
      </c>
      <c r="W212" s="6">
        <v>65.740000000000009</v>
      </c>
      <c r="X212" s="6">
        <f t="shared" si="8"/>
        <v>71</v>
      </c>
      <c r="Y212" s="6">
        <f t="shared" si="8"/>
        <v>61.84</v>
      </c>
    </row>
    <row r="213" spans="1:25" x14ac:dyDescent="0.25">
      <c r="A213" s="2" t="s">
        <v>208</v>
      </c>
      <c r="B213" s="2" t="s">
        <v>209</v>
      </c>
      <c r="C213" s="2" t="s">
        <v>210</v>
      </c>
      <c r="D213" s="5">
        <v>138</v>
      </c>
      <c r="E213" s="6">
        <v>132</v>
      </c>
      <c r="F213" s="5">
        <v>136</v>
      </c>
      <c r="G213" s="6">
        <v>129.93</v>
      </c>
      <c r="H213" s="5">
        <v>136</v>
      </c>
      <c r="I213" s="6">
        <v>129.93</v>
      </c>
      <c r="J213" s="5">
        <v>135</v>
      </c>
      <c r="K213" s="6">
        <v>129.09</v>
      </c>
      <c r="L213" s="5">
        <v>135</v>
      </c>
      <c r="M213" s="6">
        <v>129.09</v>
      </c>
      <c r="N213" s="5">
        <v>134</v>
      </c>
      <c r="O213" s="6">
        <v>128.09</v>
      </c>
      <c r="P213" s="5">
        <v>134</v>
      </c>
      <c r="Q213" s="6">
        <v>128.09</v>
      </c>
      <c r="R213" s="5">
        <v>136</v>
      </c>
      <c r="S213" s="6">
        <v>130.09</v>
      </c>
      <c r="T213" s="5">
        <v>132</v>
      </c>
      <c r="U213" s="6">
        <v>126.09</v>
      </c>
      <c r="V213" s="5">
        <v>132</v>
      </c>
      <c r="W213" s="6">
        <v>126.16</v>
      </c>
      <c r="X213" s="6">
        <f t="shared" si="8"/>
        <v>134.80000000000001</v>
      </c>
      <c r="Y213" s="6">
        <f t="shared" si="8"/>
        <v>128.86000000000001</v>
      </c>
    </row>
    <row r="214" spans="1:25" x14ac:dyDescent="0.25">
      <c r="A214" s="2" t="s">
        <v>208</v>
      </c>
      <c r="B214" s="2" t="s">
        <v>209</v>
      </c>
      <c r="C214" s="2" t="s">
        <v>211</v>
      </c>
      <c r="D214" s="5">
        <v>79</v>
      </c>
      <c r="E214" s="6">
        <v>74.14</v>
      </c>
      <c r="F214" s="5">
        <v>78</v>
      </c>
      <c r="G214" s="6">
        <v>61.68</v>
      </c>
      <c r="H214" s="5">
        <v>87</v>
      </c>
      <c r="I214" s="6">
        <v>67.460000000000008</v>
      </c>
      <c r="J214" s="5">
        <v>86</v>
      </c>
      <c r="K214" s="6">
        <v>59.559999999999995</v>
      </c>
      <c r="L214" s="5">
        <v>91</v>
      </c>
      <c r="M214" s="6">
        <v>65.929999999999993</v>
      </c>
      <c r="N214" s="5">
        <v>95</v>
      </c>
      <c r="O214" s="6">
        <v>64.67</v>
      </c>
      <c r="P214" s="5">
        <v>104</v>
      </c>
      <c r="Q214" s="6">
        <v>66.81</v>
      </c>
      <c r="R214" s="5">
        <v>101</v>
      </c>
      <c r="S214" s="6">
        <v>70.319999999999993</v>
      </c>
      <c r="T214" s="5">
        <v>105</v>
      </c>
      <c r="U214" s="6">
        <v>60.309999999999995</v>
      </c>
      <c r="V214" s="5">
        <v>106</v>
      </c>
      <c r="W214" s="6">
        <v>75.7</v>
      </c>
      <c r="X214" s="6">
        <f t="shared" si="8"/>
        <v>93.2</v>
      </c>
      <c r="Y214" s="6">
        <f t="shared" si="8"/>
        <v>66.66</v>
      </c>
    </row>
    <row r="215" spans="1:25" x14ac:dyDescent="0.25">
      <c r="A215" s="2" t="s">
        <v>122</v>
      </c>
      <c r="B215" s="2" t="s">
        <v>123</v>
      </c>
      <c r="C215" s="2" t="s">
        <v>124</v>
      </c>
      <c r="D215" s="5">
        <v>171</v>
      </c>
      <c r="E215" s="6">
        <v>167.65</v>
      </c>
      <c r="F215" s="5">
        <v>190</v>
      </c>
      <c r="G215" s="6">
        <v>183.85</v>
      </c>
      <c r="H215" s="5">
        <v>186</v>
      </c>
      <c r="I215" s="6">
        <v>180.29000000000002</v>
      </c>
      <c r="J215" s="5">
        <v>193</v>
      </c>
      <c r="K215" s="6">
        <v>186.91</v>
      </c>
      <c r="L215" s="5">
        <v>175</v>
      </c>
      <c r="M215" s="6">
        <v>170.65</v>
      </c>
      <c r="N215" s="5">
        <v>192</v>
      </c>
      <c r="O215" s="6">
        <v>186.75</v>
      </c>
      <c r="P215" s="5">
        <v>200</v>
      </c>
      <c r="Q215" s="6">
        <v>196.41</v>
      </c>
      <c r="R215" s="5">
        <v>205</v>
      </c>
      <c r="S215" s="6">
        <v>201.40999999999997</v>
      </c>
      <c r="T215" s="5">
        <v>205</v>
      </c>
      <c r="U215" s="6">
        <v>200.74</v>
      </c>
      <c r="V215" s="5">
        <v>208</v>
      </c>
      <c r="W215" s="6">
        <v>203.74</v>
      </c>
      <c r="X215" s="6">
        <f t="shared" si="8"/>
        <v>192.5</v>
      </c>
      <c r="Y215" s="6">
        <f t="shared" si="8"/>
        <v>187.84</v>
      </c>
    </row>
    <row r="216" spans="1:25" x14ac:dyDescent="0.25">
      <c r="A216" s="2" t="s">
        <v>29</v>
      </c>
      <c r="B216" s="2" t="s">
        <v>30</v>
      </c>
      <c r="C216" s="2" t="s">
        <v>31</v>
      </c>
      <c r="D216" s="5">
        <v>164</v>
      </c>
      <c r="E216" s="6">
        <v>87.86999999999999</v>
      </c>
      <c r="F216" s="5">
        <v>169</v>
      </c>
      <c r="G216" s="6">
        <v>100.66000000000001</v>
      </c>
      <c r="H216" s="5">
        <v>148</v>
      </c>
      <c r="I216" s="6">
        <v>87.36</v>
      </c>
      <c r="J216" s="5">
        <v>160</v>
      </c>
      <c r="K216" s="6">
        <v>87.38000000000001</v>
      </c>
      <c r="L216" s="5">
        <v>163</v>
      </c>
      <c r="M216" s="6">
        <v>89.89</v>
      </c>
      <c r="N216" s="5">
        <v>153</v>
      </c>
      <c r="O216" s="6">
        <v>86.65</v>
      </c>
      <c r="P216" s="5">
        <v>148</v>
      </c>
      <c r="Q216" s="6">
        <v>88.85</v>
      </c>
      <c r="R216" s="5">
        <v>146</v>
      </c>
      <c r="S216" s="6">
        <v>90.170000000000016</v>
      </c>
      <c r="T216" s="5">
        <v>152</v>
      </c>
      <c r="U216" s="6">
        <v>101.07000000000001</v>
      </c>
      <c r="V216" s="5">
        <v>137</v>
      </c>
      <c r="W216" s="6">
        <v>90.160000000000011</v>
      </c>
      <c r="X216" s="6">
        <f t="shared" si="8"/>
        <v>154</v>
      </c>
      <c r="Y216" s="6">
        <f t="shared" si="8"/>
        <v>91.01</v>
      </c>
    </row>
    <row r="217" spans="1:25" x14ac:dyDescent="0.25">
      <c r="A217" s="2" t="s">
        <v>29</v>
      </c>
      <c r="B217" s="2" t="s">
        <v>30</v>
      </c>
      <c r="C217" s="2" t="s">
        <v>32</v>
      </c>
      <c r="D217" s="5">
        <v>283</v>
      </c>
      <c r="E217" s="6">
        <v>272.14</v>
      </c>
      <c r="F217" s="5">
        <v>306</v>
      </c>
      <c r="G217" s="6">
        <v>296.66000000000003</v>
      </c>
      <c r="H217" s="5">
        <v>346</v>
      </c>
      <c r="I217" s="6">
        <v>334.72</v>
      </c>
      <c r="J217" s="5">
        <v>373</v>
      </c>
      <c r="K217" s="6">
        <v>358.26</v>
      </c>
      <c r="L217" s="5">
        <v>374</v>
      </c>
      <c r="M217" s="6">
        <v>359.86</v>
      </c>
      <c r="N217" s="5">
        <v>384</v>
      </c>
      <c r="O217" s="6">
        <v>373.88</v>
      </c>
      <c r="P217" s="5">
        <v>407</v>
      </c>
      <c r="Q217" s="6">
        <v>397.06</v>
      </c>
      <c r="R217" s="5">
        <v>421</v>
      </c>
      <c r="S217" s="6">
        <v>411.86</v>
      </c>
      <c r="T217" s="5">
        <v>438</v>
      </c>
      <c r="U217" s="6">
        <v>426.7</v>
      </c>
      <c r="V217" s="5">
        <v>434</v>
      </c>
      <c r="W217" s="6">
        <v>422.40000000000003</v>
      </c>
      <c r="X217" s="6">
        <f t="shared" si="8"/>
        <v>376.6</v>
      </c>
      <c r="Y217" s="6">
        <f t="shared" si="8"/>
        <v>365.35</v>
      </c>
    </row>
    <row r="218" spans="1:25" x14ac:dyDescent="0.25">
      <c r="A218" s="2" t="s">
        <v>29</v>
      </c>
      <c r="B218" s="2" t="s">
        <v>30</v>
      </c>
      <c r="C218" s="2" t="s">
        <v>33</v>
      </c>
      <c r="D218" s="5">
        <v>740</v>
      </c>
      <c r="E218" s="6">
        <v>714.5</v>
      </c>
      <c r="F218" s="5">
        <v>751</v>
      </c>
      <c r="G218" s="6">
        <v>725.16</v>
      </c>
      <c r="H218" s="5">
        <v>756</v>
      </c>
      <c r="I218" s="6">
        <v>730.36999999999989</v>
      </c>
      <c r="J218" s="5">
        <v>752</v>
      </c>
      <c r="K218" s="6">
        <v>725.43</v>
      </c>
      <c r="L218" s="5">
        <v>758</v>
      </c>
      <c r="M218" s="6">
        <v>730.12999999999988</v>
      </c>
      <c r="N218" s="5">
        <v>749</v>
      </c>
      <c r="O218" s="6">
        <v>722.81</v>
      </c>
      <c r="P218" s="5">
        <v>750</v>
      </c>
      <c r="Q218" s="6">
        <v>723.26</v>
      </c>
      <c r="R218" s="5">
        <v>749</v>
      </c>
      <c r="S218" s="6">
        <v>722.68000000000006</v>
      </c>
      <c r="T218" s="5">
        <v>747</v>
      </c>
      <c r="U218" s="6">
        <v>720.03</v>
      </c>
      <c r="V218" s="5">
        <v>745</v>
      </c>
      <c r="W218" s="6">
        <v>718.21000000000015</v>
      </c>
      <c r="X218" s="6">
        <f t="shared" si="8"/>
        <v>749.7</v>
      </c>
      <c r="Y218" s="6">
        <f t="shared" si="8"/>
        <v>723.26</v>
      </c>
    </row>
    <row r="219" spans="1:25" x14ac:dyDescent="0.25">
      <c r="A219" s="2" t="s">
        <v>90</v>
      </c>
      <c r="B219" s="2" t="s">
        <v>91</v>
      </c>
      <c r="C219" s="2" t="s">
        <v>92</v>
      </c>
      <c r="D219" s="5">
        <v>190</v>
      </c>
      <c r="E219" s="6">
        <v>154.16999999999999</v>
      </c>
      <c r="F219" s="5">
        <v>225</v>
      </c>
      <c r="G219" s="6">
        <v>177.95</v>
      </c>
      <c r="H219" s="5">
        <v>232</v>
      </c>
      <c r="I219" s="6">
        <v>183.71</v>
      </c>
      <c r="J219" s="5">
        <v>231</v>
      </c>
      <c r="K219" s="6">
        <v>181.95000000000002</v>
      </c>
      <c r="L219" s="5">
        <v>228</v>
      </c>
      <c r="M219" s="6">
        <v>181.26999999999998</v>
      </c>
      <c r="N219" s="5">
        <v>237</v>
      </c>
      <c r="O219" s="6">
        <v>181.98999999999998</v>
      </c>
      <c r="P219" s="5">
        <v>252</v>
      </c>
      <c r="Q219" s="6">
        <v>192.88000000000002</v>
      </c>
      <c r="R219" s="5">
        <v>251</v>
      </c>
      <c r="S219" s="6">
        <v>192.54</v>
      </c>
      <c r="T219" s="5">
        <v>247</v>
      </c>
      <c r="U219" s="6">
        <v>188.54</v>
      </c>
      <c r="V219" s="5">
        <v>247</v>
      </c>
      <c r="W219" s="6">
        <v>188.54</v>
      </c>
      <c r="X219" s="6">
        <f t="shared" si="8"/>
        <v>234</v>
      </c>
      <c r="Y219" s="6">
        <f t="shared" si="8"/>
        <v>182.35</v>
      </c>
    </row>
    <row r="220" spans="1:25" x14ac:dyDescent="0.25">
      <c r="A220" s="2" t="s">
        <v>682</v>
      </c>
      <c r="B220" s="2" t="s">
        <v>683</v>
      </c>
      <c r="C220" s="2" t="s">
        <v>18</v>
      </c>
      <c r="D220" s="5">
        <v>24</v>
      </c>
      <c r="E220" s="6">
        <v>24</v>
      </c>
      <c r="F220" s="5">
        <v>30</v>
      </c>
      <c r="G220" s="6">
        <v>30</v>
      </c>
      <c r="H220" s="5">
        <v>29</v>
      </c>
      <c r="I220" s="6">
        <v>28.43</v>
      </c>
      <c r="J220" s="5">
        <v>29</v>
      </c>
      <c r="K220" s="6">
        <v>28.43</v>
      </c>
      <c r="L220" s="5">
        <v>29</v>
      </c>
      <c r="M220" s="6">
        <v>28.43</v>
      </c>
      <c r="N220" s="5">
        <v>35</v>
      </c>
      <c r="O220" s="6">
        <v>33</v>
      </c>
      <c r="P220" s="5">
        <v>37</v>
      </c>
      <c r="Q220" s="6">
        <v>34.42</v>
      </c>
      <c r="R220" s="5">
        <v>36</v>
      </c>
      <c r="S220" s="6">
        <v>33.42</v>
      </c>
      <c r="T220" s="5">
        <v>36</v>
      </c>
      <c r="U220" s="6">
        <v>33.42</v>
      </c>
      <c r="V220" s="5">
        <v>34</v>
      </c>
      <c r="W220" s="6">
        <v>32.42</v>
      </c>
      <c r="X220" s="6">
        <f t="shared" si="8"/>
        <v>31.9</v>
      </c>
      <c r="Y220" s="6">
        <f t="shared" si="8"/>
        <v>30.6</v>
      </c>
    </row>
    <row r="221" spans="1:25" x14ac:dyDescent="0.25">
      <c r="A221" s="2" t="s">
        <v>531</v>
      </c>
      <c r="B221" s="2" t="s">
        <v>532</v>
      </c>
      <c r="C221" s="2" t="s">
        <v>533</v>
      </c>
      <c r="D221" s="5">
        <v>102</v>
      </c>
      <c r="E221" s="6">
        <v>100.38</v>
      </c>
      <c r="F221" s="5">
        <v>110</v>
      </c>
      <c r="G221" s="6">
        <v>105.01</v>
      </c>
      <c r="H221" s="5">
        <v>106</v>
      </c>
      <c r="I221" s="6">
        <v>101.01</v>
      </c>
      <c r="J221" s="5">
        <v>106</v>
      </c>
      <c r="K221" s="6">
        <v>101.01</v>
      </c>
      <c r="L221" s="5">
        <v>108</v>
      </c>
      <c r="M221" s="6">
        <v>103.01</v>
      </c>
      <c r="N221" s="5">
        <v>117</v>
      </c>
      <c r="O221" s="6">
        <v>111.52000000000001</v>
      </c>
      <c r="P221" s="5">
        <v>117</v>
      </c>
      <c r="Q221" s="6">
        <v>111.52000000000001</v>
      </c>
      <c r="R221" s="5">
        <v>117</v>
      </c>
      <c r="S221" s="6">
        <v>111.69</v>
      </c>
      <c r="T221" s="5">
        <v>117</v>
      </c>
      <c r="U221" s="6">
        <v>111.69</v>
      </c>
      <c r="V221" s="5">
        <v>117</v>
      </c>
      <c r="W221" s="6">
        <v>111.69</v>
      </c>
      <c r="X221" s="6">
        <f t="shared" si="8"/>
        <v>111.7</v>
      </c>
      <c r="Y221" s="6">
        <f t="shared" si="8"/>
        <v>106.85</v>
      </c>
    </row>
    <row r="222" spans="1:25" x14ac:dyDescent="0.25">
      <c r="A222" s="2" t="s">
        <v>531</v>
      </c>
      <c r="B222" s="2" t="s">
        <v>532</v>
      </c>
      <c r="C222" s="2" t="s">
        <v>534</v>
      </c>
      <c r="D222" s="5">
        <v>38</v>
      </c>
      <c r="E222" s="6">
        <v>35.879999999999995</v>
      </c>
      <c r="F222" s="5">
        <v>43</v>
      </c>
      <c r="G222" s="6">
        <v>38.230000000000004</v>
      </c>
      <c r="H222" s="5">
        <v>46</v>
      </c>
      <c r="I222" s="6">
        <v>42.6</v>
      </c>
      <c r="J222" s="5">
        <v>47</v>
      </c>
      <c r="K222" s="6">
        <v>43.879999999999995</v>
      </c>
      <c r="L222" s="5">
        <v>47</v>
      </c>
      <c r="M222" s="6">
        <v>44.709999999999994</v>
      </c>
      <c r="N222" s="5">
        <v>52</v>
      </c>
      <c r="O222" s="6">
        <v>48.37</v>
      </c>
      <c r="P222" s="5">
        <v>52</v>
      </c>
      <c r="Q222" s="6">
        <v>47.730000000000004</v>
      </c>
      <c r="R222" s="5">
        <v>53</v>
      </c>
      <c r="S222" s="6">
        <v>46.9</v>
      </c>
      <c r="T222" s="5">
        <v>4</v>
      </c>
      <c r="U222" s="6">
        <v>3.19</v>
      </c>
      <c r="V222" s="5">
        <v>51</v>
      </c>
      <c r="W222" s="6">
        <v>36.92</v>
      </c>
      <c r="X222" s="6">
        <f t="shared" si="8"/>
        <v>43.3</v>
      </c>
      <c r="Y222" s="6">
        <f t="shared" si="8"/>
        <v>38.840000000000003</v>
      </c>
    </row>
    <row r="223" spans="1:25" x14ac:dyDescent="0.25">
      <c r="A223" s="2" t="s">
        <v>216</v>
      </c>
      <c r="B223" s="2" t="s">
        <v>217</v>
      </c>
      <c r="C223" s="2" t="s">
        <v>218</v>
      </c>
      <c r="D223" s="5">
        <v>54</v>
      </c>
      <c r="E223" s="6">
        <v>53.82</v>
      </c>
      <c r="F223" s="5">
        <v>61</v>
      </c>
      <c r="G223" s="6">
        <v>59.87</v>
      </c>
      <c r="H223" s="5">
        <v>66</v>
      </c>
      <c r="I223" s="6">
        <v>64.87</v>
      </c>
      <c r="J223" s="5">
        <v>67</v>
      </c>
      <c r="K223" s="6">
        <v>65.87</v>
      </c>
      <c r="L223" s="5">
        <v>70</v>
      </c>
      <c r="M223" s="6">
        <v>65.97</v>
      </c>
      <c r="N223" s="5">
        <v>76</v>
      </c>
      <c r="O223" s="6">
        <v>74.84</v>
      </c>
      <c r="P223" s="5">
        <v>80</v>
      </c>
      <c r="Q223" s="6">
        <v>78.84</v>
      </c>
      <c r="R223" s="5">
        <v>88</v>
      </c>
      <c r="S223" s="6">
        <v>85.79</v>
      </c>
      <c r="T223" s="5">
        <v>86</v>
      </c>
      <c r="U223" s="6">
        <v>84.66</v>
      </c>
      <c r="V223" s="5">
        <v>89</v>
      </c>
      <c r="W223" s="6">
        <v>82.96</v>
      </c>
      <c r="X223" s="6">
        <f t="shared" si="8"/>
        <v>73.7</v>
      </c>
      <c r="Y223" s="6">
        <f t="shared" si="8"/>
        <v>71.75</v>
      </c>
    </row>
    <row r="224" spans="1:25" x14ac:dyDescent="0.25">
      <c r="A224" s="2" t="s">
        <v>216</v>
      </c>
      <c r="B224" s="2" t="s">
        <v>217</v>
      </c>
      <c r="C224" s="2" t="s">
        <v>219</v>
      </c>
      <c r="D224" s="5">
        <v>80</v>
      </c>
      <c r="E224" s="6">
        <v>77.47999999999999</v>
      </c>
      <c r="F224" s="5">
        <v>82</v>
      </c>
      <c r="G224" s="6">
        <v>79.48</v>
      </c>
      <c r="H224" s="5">
        <v>80</v>
      </c>
      <c r="I224" s="6">
        <v>77.38</v>
      </c>
      <c r="J224" s="5">
        <v>81</v>
      </c>
      <c r="K224" s="6">
        <v>78.37</v>
      </c>
      <c r="L224" s="5">
        <v>92</v>
      </c>
      <c r="M224" s="6">
        <v>83.17</v>
      </c>
      <c r="N224" s="5">
        <v>77</v>
      </c>
      <c r="O224" s="6">
        <v>74.37</v>
      </c>
      <c r="P224" s="5">
        <v>75</v>
      </c>
      <c r="Q224" s="6">
        <v>72.37</v>
      </c>
      <c r="R224" s="5">
        <v>80</v>
      </c>
      <c r="S224" s="6">
        <v>72.17</v>
      </c>
      <c r="T224" s="5">
        <v>81</v>
      </c>
      <c r="U224" s="6">
        <v>79.17</v>
      </c>
      <c r="V224" s="5">
        <v>87</v>
      </c>
      <c r="W224" s="6">
        <v>81.17</v>
      </c>
      <c r="X224" s="6">
        <f t="shared" si="8"/>
        <v>81.5</v>
      </c>
      <c r="Y224" s="6">
        <f t="shared" si="8"/>
        <v>77.510000000000005</v>
      </c>
    </row>
    <row r="225" spans="1:25" x14ac:dyDescent="0.25">
      <c r="A225" s="2" t="s">
        <v>574</v>
      </c>
      <c r="B225" s="2" t="s">
        <v>575</v>
      </c>
      <c r="C225" s="2" t="s">
        <v>576</v>
      </c>
      <c r="D225" s="5">
        <v>32</v>
      </c>
      <c r="E225" s="6">
        <v>30.86</v>
      </c>
      <c r="F225" s="5">
        <v>40</v>
      </c>
      <c r="G225" s="6">
        <v>39.19</v>
      </c>
      <c r="H225" s="5">
        <v>38</v>
      </c>
      <c r="I225" s="6">
        <v>36.36</v>
      </c>
      <c r="J225" s="5">
        <v>36</v>
      </c>
      <c r="K225" s="6">
        <v>33.5</v>
      </c>
      <c r="L225" s="5">
        <v>34</v>
      </c>
      <c r="M225" s="6">
        <v>32.5</v>
      </c>
      <c r="N225" s="5">
        <v>35</v>
      </c>
      <c r="O225" s="6">
        <v>33.200000000000003</v>
      </c>
      <c r="P225" s="5">
        <v>37</v>
      </c>
      <c r="Q225" s="6">
        <v>34.35</v>
      </c>
      <c r="R225" s="5">
        <v>37</v>
      </c>
      <c r="S225" s="6">
        <v>34.75</v>
      </c>
      <c r="T225" s="5">
        <v>37</v>
      </c>
      <c r="U225" s="6">
        <v>34.79</v>
      </c>
      <c r="V225" s="5">
        <v>35</v>
      </c>
      <c r="W225" s="6">
        <v>32.79</v>
      </c>
      <c r="X225" s="6">
        <f t="shared" si="8"/>
        <v>36.1</v>
      </c>
      <c r="Y225" s="6">
        <f t="shared" si="8"/>
        <v>34.229999999999997</v>
      </c>
    </row>
    <row r="226" spans="1:25" x14ac:dyDescent="0.25">
      <c r="A226" s="2" t="s">
        <v>401</v>
      </c>
      <c r="B226" s="2" t="s">
        <v>402</v>
      </c>
      <c r="C226" s="2" t="s">
        <v>403</v>
      </c>
      <c r="D226" s="5">
        <v>34</v>
      </c>
      <c r="E226" s="6">
        <v>31.249999999999996</v>
      </c>
      <c r="F226" s="5">
        <v>40</v>
      </c>
      <c r="G226" s="6">
        <v>35.909999999999997</v>
      </c>
      <c r="H226" s="5">
        <v>42</v>
      </c>
      <c r="I226" s="6">
        <v>37.909999999999997</v>
      </c>
      <c r="J226" s="5">
        <v>43</v>
      </c>
      <c r="K226" s="6">
        <v>39.159999999999997</v>
      </c>
      <c r="L226" s="5">
        <v>45</v>
      </c>
      <c r="M226" s="6">
        <v>41.26</v>
      </c>
      <c r="N226" s="5">
        <v>45</v>
      </c>
      <c r="O226" s="6">
        <v>41.26</v>
      </c>
      <c r="P226" s="5">
        <v>45</v>
      </c>
      <c r="Q226" s="6">
        <v>41.260000000000005</v>
      </c>
      <c r="R226" s="5">
        <v>46</v>
      </c>
      <c r="S226" s="6">
        <v>42.260000000000005</v>
      </c>
      <c r="T226" s="5">
        <v>52</v>
      </c>
      <c r="U226" s="6">
        <v>48.260000000000005</v>
      </c>
      <c r="V226" s="5">
        <v>53</v>
      </c>
      <c r="W226" s="6">
        <v>48.46</v>
      </c>
      <c r="X226" s="6">
        <f t="shared" si="8"/>
        <v>44.5</v>
      </c>
      <c r="Y226" s="6">
        <f t="shared" si="8"/>
        <v>40.700000000000003</v>
      </c>
    </row>
    <row r="227" spans="1:25" x14ac:dyDescent="0.25">
      <c r="A227" s="2" t="s">
        <v>191</v>
      </c>
      <c r="B227" s="2" t="s">
        <v>192</v>
      </c>
      <c r="C227" s="2" t="s">
        <v>193</v>
      </c>
      <c r="D227" s="5">
        <v>316</v>
      </c>
      <c r="E227" s="6">
        <v>312.89999999999998</v>
      </c>
      <c r="F227" s="5">
        <v>390</v>
      </c>
      <c r="G227" s="6">
        <v>382.84</v>
      </c>
      <c r="H227" s="5">
        <v>421</v>
      </c>
      <c r="I227" s="6">
        <v>411.23</v>
      </c>
      <c r="J227" s="5">
        <v>466</v>
      </c>
      <c r="K227" s="6">
        <v>454.17</v>
      </c>
      <c r="L227" s="5">
        <v>466</v>
      </c>
      <c r="M227" s="6">
        <v>455.51</v>
      </c>
      <c r="N227" s="5">
        <v>470</v>
      </c>
      <c r="O227" s="6">
        <v>460</v>
      </c>
      <c r="P227" s="5">
        <v>514</v>
      </c>
      <c r="Q227" s="6">
        <v>500.36</v>
      </c>
      <c r="R227" s="5">
        <v>535</v>
      </c>
      <c r="S227" s="6">
        <v>521.27</v>
      </c>
      <c r="T227" s="5">
        <v>545</v>
      </c>
      <c r="U227" s="6">
        <v>532.35</v>
      </c>
      <c r="V227" s="5">
        <v>552</v>
      </c>
      <c r="W227" s="6">
        <v>540.30999999999995</v>
      </c>
      <c r="X227" s="6">
        <f t="shared" si="8"/>
        <v>467.5</v>
      </c>
      <c r="Y227" s="6">
        <f t="shared" si="8"/>
        <v>457.09</v>
      </c>
    </row>
    <row r="228" spans="1:25" x14ac:dyDescent="0.25">
      <c r="A228" s="2" t="s">
        <v>191</v>
      </c>
      <c r="B228" s="2" t="s">
        <v>192</v>
      </c>
      <c r="C228" s="2" t="s">
        <v>194</v>
      </c>
      <c r="D228" s="5">
        <v>206</v>
      </c>
      <c r="E228" s="6">
        <v>177.36</v>
      </c>
      <c r="F228" s="5">
        <v>219</v>
      </c>
      <c r="G228" s="6">
        <v>189.61</v>
      </c>
      <c r="H228" s="5">
        <v>204</v>
      </c>
      <c r="I228" s="6">
        <v>184.16</v>
      </c>
      <c r="J228" s="5">
        <v>228</v>
      </c>
      <c r="K228" s="6">
        <v>201.41</v>
      </c>
      <c r="L228" s="5">
        <v>239</v>
      </c>
      <c r="M228" s="6">
        <v>214.91</v>
      </c>
      <c r="N228" s="5">
        <v>234</v>
      </c>
      <c r="O228" s="6">
        <v>201.37</v>
      </c>
      <c r="P228" s="5">
        <v>242</v>
      </c>
      <c r="Q228" s="6">
        <v>215.6</v>
      </c>
      <c r="R228" s="5">
        <v>256</v>
      </c>
      <c r="S228" s="6">
        <v>224.4</v>
      </c>
      <c r="T228" s="5">
        <v>264</v>
      </c>
      <c r="U228" s="6">
        <v>233.78</v>
      </c>
      <c r="V228" s="5">
        <v>255</v>
      </c>
      <c r="W228" s="6">
        <v>225.59</v>
      </c>
      <c r="X228" s="6">
        <f t="shared" si="8"/>
        <v>234.7</v>
      </c>
      <c r="Y228" s="6">
        <f t="shared" si="8"/>
        <v>206.82</v>
      </c>
    </row>
    <row r="229" spans="1:25" x14ac:dyDescent="0.25">
      <c r="A229" s="2" t="s">
        <v>191</v>
      </c>
      <c r="B229" s="2" t="s">
        <v>192</v>
      </c>
      <c r="C229" s="2" t="s">
        <v>195</v>
      </c>
      <c r="D229" s="5">
        <v>257</v>
      </c>
      <c r="E229" s="6">
        <v>256.16000000000003</v>
      </c>
      <c r="F229" s="5">
        <v>260</v>
      </c>
      <c r="G229" s="6">
        <v>257.39999999999998</v>
      </c>
      <c r="H229" s="5">
        <v>245</v>
      </c>
      <c r="I229" s="6">
        <v>239.95</v>
      </c>
      <c r="J229" s="5">
        <v>242</v>
      </c>
      <c r="K229" s="6">
        <v>237.34</v>
      </c>
      <c r="L229" s="5">
        <v>242</v>
      </c>
      <c r="M229" s="6">
        <v>236.56</v>
      </c>
      <c r="N229" s="5">
        <v>243</v>
      </c>
      <c r="O229" s="6">
        <v>236.94</v>
      </c>
      <c r="P229" s="5">
        <v>238</v>
      </c>
      <c r="Q229" s="6">
        <v>229.65</v>
      </c>
      <c r="R229" s="5">
        <v>234</v>
      </c>
      <c r="S229" s="6">
        <v>224.73</v>
      </c>
      <c r="T229" s="5">
        <v>235</v>
      </c>
      <c r="U229" s="6">
        <v>224.91</v>
      </c>
      <c r="V229" s="5">
        <v>238</v>
      </c>
      <c r="W229" s="6">
        <v>227.91</v>
      </c>
      <c r="X229" s="6">
        <f t="shared" si="8"/>
        <v>243.4</v>
      </c>
      <c r="Y229" s="6">
        <f t="shared" si="8"/>
        <v>237.16</v>
      </c>
    </row>
    <row r="230" spans="1:25" x14ac:dyDescent="0.25">
      <c r="A230" s="2" t="s">
        <v>407</v>
      </c>
      <c r="B230" s="2" t="s">
        <v>408</v>
      </c>
      <c r="C230" s="2" t="s">
        <v>409</v>
      </c>
      <c r="D230" s="5">
        <v>5</v>
      </c>
      <c r="E230" s="6">
        <v>5</v>
      </c>
      <c r="F230" s="5">
        <v>7</v>
      </c>
      <c r="G230" s="6">
        <v>7</v>
      </c>
      <c r="H230" s="5">
        <v>8</v>
      </c>
      <c r="I230" s="6">
        <v>7.54</v>
      </c>
      <c r="J230" s="5">
        <v>8</v>
      </c>
      <c r="K230" s="6">
        <v>7.08</v>
      </c>
      <c r="L230" s="5">
        <v>11</v>
      </c>
      <c r="M230" s="6">
        <v>10.08</v>
      </c>
      <c r="N230" s="5">
        <v>9</v>
      </c>
      <c r="O230" s="6">
        <v>7.62</v>
      </c>
      <c r="P230" s="5">
        <v>11</v>
      </c>
      <c r="Q230" s="6">
        <v>9.620000000000001</v>
      </c>
      <c r="R230" s="5">
        <v>11</v>
      </c>
      <c r="S230" s="6">
        <v>10.08</v>
      </c>
      <c r="T230" s="5">
        <v>10</v>
      </c>
      <c r="U230" s="6">
        <v>9.5399999999999991</v>
      </c>
      <c r="V230" s="5">
        <v>11</v>
      </c>
      <c r="W230" s="6">
        <v>10.08</v>
      </c>
      <c r="X230" s="6">
        <f t="shared" si="8"/>
        <v>9.1</v>
      </c>
      <c r="Y230" s="6">
        <f t="shared" si="8"/>
        <v>8.36</v>
      </c>
    </row>
    <row r="231" spans="1:25" x14ac:dyDescent="0.25">
      <c r="A231" s="2" t="s">
        <v>623</v>
      </c>
      <c r="B231" s="2" t="s">
        <v>624</v>
      </c>
      <c r="C231" s="2" t="s">
        <v>155</v>
      </c>
      <c r="D231" s="5">
        <v>26</v>
      </c>
      <c r="E231" s="6">
        <v>24.49</v>
      </c>
      <c r="F231" s="5">
        <v>35</v>
      </c>
      <c r="G231" s="6">
        <v>34.380000000000003</v>
      </c>
      <c r="H231" s="5">
        <v>37</v>
      </c>
      <c r="I231" s="6">
        <v>31.65</v>
      </c>
      <c r="J231" s="5">
        <v>36</v>
      </c>
      <c r="K231" s="6">
        <v>30.38</v>
      </c>
      <c r="L231" s="5">
        <v>31</v>
      </c>
      <c r="M231" s="6">
        <v>27.72</v>
      </c>
      <c r="N231" s="5">
        <v>36</v>
      </c>
      <c r="O231" s="6">
        <v>31.91</v>
      </c>
      <c r="P231" s="5">
        <v>38</v>
      </c>
      <c r="Q231" s="6">
        <v>34.909999999999997</v>
      </c>
      <c r="R231" s="5">
        <v>41</v>
      </c>
      <c r="S231" s="6">
        <v>37.04</v>
      </c>
      <c r="T231" s="5">
        <v>47</v>
      </c>
      <c r="U231" s="6">
        <v>40.659999999999997</v>
      </c>
      <c r="V231" s="5">
        <v>46</v>
      </c>
      <c r="W231" s="6">
        <v>41.47</v>
      </c>
      <c r="X231" s="6">
        <f t="shared" si="8"/>
        <v>37.299999999999997</v>
      </c>
      <c r="Y231" s="6">
        <f t="shared" si="8"/>
        <v>33.46</v>
      </c>
    </row>
    <row r="232" spans="1:25" x14ac:dyDescent="0.25">
      <c r="A232" s="2" t="s">
        <v>623</v>
      </c>
      <c r="B232" s="2" t="s">
        <v>624</v>
      </c>
      <c r="C232" s="2" t="s">
        <v>625</v>
      </c>
      <c r="D232" s="5">
        <v>34</v>
      </c>
      <c r="E232" s="6">
        <v>24.4</v>
      </c>
      <c r="F232" s="5">
        <v>0</v>
      </c>
      <c r="G232" s="6">
        <v>0</v>
      </c>
      <c r="H232" s="5">
        <v>58</v>
      </c>
      <c r="I232" s="6">
        <v>41.8</v>
      </c>
      <c r="J232" s="5">
        <v>58</v>
      </c>
      <c r="K232" s="6">
        <v>39</v>
      </c>
      <c r="L232" s="5">
        <v>80</v>
      </c>
      <c r="M232" s="6">
        <v>52.4</v>
      </c>
      <c r="N232" s="5">
        <v>88</v>
      </c>
      <c r="O232" s="6">
        <v>59.2</v>
      </c>
      <c r="P232" s="5">
        <v>89</v>
      </c>
      <c r="Q232" s="6">
        <v>60</v>
      </c>
      <c r="R232" s="5">
        <v>106</v>
      </c>
      <c r="S232" s="6">
        <v>69.8</v>
      </c>
      <c r="T232" s="5">
        <v>112</v>
      </c>
      <c r="U232" s="6">
        <v>72.2</v>
      </c>
      <c r="V232" s="5">
        <v>118</v>
      </c>
      <c r="W232" s="6">
        <v>76.2</v>
      </c>
      <c r="X232" s="6">
        <f t="shared" si="8"/>
        <v>74.3</v>
      </c>
      <c r="Y232" s="6">
        <f t="shared" si="8"/>
        <v>49.5</v>
      </c>
    </row>
    <row r="233" spans="1:25" x14ac:dyDescent="0.25">
      <c r="A233" s="2" t="s">
        <v>623</v>
      </c>
      <c r="B233" s="2" t="s">
        <v>624</v>
      </c>
      <c r="C233" s="2" t="s">
        <v>626</v>
      </c>
      <c r="D233" s="5">
        <v>0</v>
      </c>
      <c r="E233" s="6">
        <v>0</v>
      </c>
      <c r="F233" s="5">
        <v>52</v>
      </c>
      <c r="G233" s="6">
        <v>37</v>
      </c>
      <c r="H233" s="5">
        <v>0</v>
      </c>
      <c r="I233" s="6">
        <v>0</v>
      </c>
      <c r="J233" s="5">
        <v>0</v>
      </c>
      <c r="K233" s="6">
        <v>0</v>
      </c>
      <c r="L233" s="5">
        <v>0</v>
      </c>
      <c r="M233" s="6">
        <v>0</v>
      </c>
      <c r="N233" s="5">
        <v>0</v>
      </c>
      <c r="O233" s="6">
        <v>0</v>
      </c>
      <c r="P233" s="5">
        <v>0</v>
      </c>
      <c r="Q233" s="6">
        <v>0</v>
      </c>
      <c r="R233" s="5">
        <v>0</v>
      </c>
      <c r="S233" s="6">
        <v>0</v>
      </c>
      <c r="T233" s="5">
        <v>0</v>
      </c>
      <c r="U233" s="6">
        <v>0</v>
      </c>
      <c r="V233" s="5">
        <v>0</v>
      </c>
      <c r="W233" s="6">
        <v>0</v>
      </c>
      <c r="X233" s="6">
        <f t="shared" si="8"/>
        <v>5.2</v>
      </c>
      <c r="Y233" s="6">
        <f t="shared" si="8"/>
        <v>3.7</v>
      </c>
    </row>
    <row r="234" spans="1:25" x14ac:dyDescent="0.25">
      <c r="A234" s="2" t="s">
        <v>53</v>
      </c>
      <c r="B234" s="2" t="s">
        <v>54</v>
      </c>
      <c r="C234" s="2" t="s">
        <v>55</v>
      </c>
      <c r="D234" s="5">
        <v>129</v>
      </c>
      <c r="E234" s="6">
        <v>95.79</v>
      </c>
      <c r="F234" s="5">
        <v>139</v>
      </c>
      <c r="G234" s="6">
        <v>104.68</v>
      </c>
      <c r="H234" s="5">
        <v>149</v>
      </c>
      <c r="I234" s="6">
        <v>115.24</v>
      </c>
      <c r="J234" s="5">
        <v>150</v>
      </c>
      <c r="K234" s="6">
        <v>118.73</v>
      </c>
      <c r="L234" s="5">
        <v>149</v>
      </c>
      <c r="M234" s="6">
        <v>115.22</v>
      </c>
      <c r="N234" s="5">
        <v>170</v>
      </c>
      <c r="O234" s="6">
        <v>126.64</v>
      </c>
      <c r="P234" s="5">
        <v>175</v>
      </c>
      <c r="Q234" s="6">
        <v>130.84</v>
      </c>
      <c r="R234" s="5">
        <v>174</v>
      </c>
      <c r="S234" s="6">
        <v>130.97999999999999</v>
      </c>
      <c r="T234" s="5">
        <v>169</v>
      </c>
      <c r="U234" s="6">
        <v>129.30000000000001</v>
      </c>
      <c r="V234" s="5">
        <v>169</v>
      </c>
      <c r="W234" s="6">
        <v>129.80000000000001</v>
      </c>
      <c r="X234" s="6">
        <f t="shared" si="8"/>
        <v>157.30000000000001</v>
      </c>
      <c r="Y234" s="6">
        <f t="shared" si="8"/>
        <v>119.72</v>
      </c>
    </row>
    <row r="235" spans="1:25" x14ac:dyDescent="0.25">
      <c r="A235" s="2" t="s">
        <v>53</v>
      </c>
      <c r="B235" s="2" t="s">
        <v>54</v>
      </c>
      <c r="C235" s="2" t="s">
        <v>56</v>
      </c>
      <c r="D235" s="5">
        <v>154</v>
      </c>
      <c r="E235" s="6">
        <v>129.30000000000001</v>
      </c>
      <c r="F235" s="5">
        <v>154</v>
      </c>
      <c r="G235" s="6">
        <v>129.80000000000001</v>
      </c>
      <c r="H235" s="5">
        <v>151</v>
      </c>
      <c r="I235" s="6">
        <v>128.76</v>
      </c>
      <c r="J235" s="5">
        <v>150</v>
      </c>
      <c r="K235" s="6">
        <v>128.76</v>
      </c>
      <c r="L235" s="5">
        <v>150</v>
      </c>
      <c r="M235" s="6">
        <v>128.76</v>
      </c>
      <c r="N235" s="5">
        <v>148</v>
      </c>
      <c r="O235" s="6">
        <v>128.30000000000001</v>
      </c>
      <c r="P235" s="5">
        <v>150</v>
      </c>
      <c r="Q235" s="6">
        <v>129.16</v>
      </c>
      <c r="R235" s="5">
        <v>150</v>
      </c>
      <c r="S235" s="6">
        <v>129.16</v>
      </c>
      <c r="T235" s="5">
        <v>150</v>
      </c>
      <c r="U235" s="6">
        <v>129.34</v>
      </c>
      <c r="V235" s="5">
        <v>148</v>
      </c>
      <c r="W235" s="6">
        <v>127.34</v>
      </c>
      <c r="X235" s="6">
        <f t="shared" si="8"/>
        <v>150.5</v>
      </c>
      <c r="Y235" s="6">
        <f t="shared" si="8"/>
        <v>128.87</v>
      </c>
    </row>
    <row r="236" spans="1:25" x14ac:dyDescent="0.25">
      <c r="A236" s="2" t="s">
        <v>315</v>
      </c>
      <c r="B236" s="2" t="s">
        <v>316</v>
      </c>
      <c r="C236" s="2" t="s">
        <v>317</v>
      </c>
      <c r="D236" s="5">
        <v>141</v>
      </c>
      <c r="E236" s="6">
        <v>130.65</v>
      </c>
      <c r="F236" s="5">
        <v>139</v>
      </c>
      <c r="G236" s="6">
        <v>126.85</v>
      </c>
      <c r="H236" s="5">
        <v>141</v>
      </c>
      <c r="I236" s="6">
        <v>127.85</v>
      </c>
      <c r="J236" s="5">
        <v>152</v>
      </c>
      <c r="K236" s="6">
        <v>137.6</v>
      </c>
      <c r="L236" s="5">
        <v>161</v>
      </c>
      <c r="M236" s="6">
        <v>143.30000000000001</v>
      </c>
      <c r="N236" s="5">
        <v>160</v>
      </c>
      <c r="O236" s="6">
        <v>142.25</v>
      </c>
      <c r="P236" s="5">
        <v>165</v>
      </c>
      <c r="Q236" s="6">
        <v>148.25</v>
      </c>
      <c r="R236" s="5">
        <v>201</v>
      </c>
      <c r="S236" s="6">
        <v>183.05</v>
      </c>
      <c r="T236" s="5">
        <v>200</v>
      </c>
      <c r="U236" s="6">
        <v>182.05</v>
      </c>
      <c r="V236" s="5">
        <v>206</v>
      </c>
      <c r="W236" s="6">
        <v>188.1</v>
      </c>
      <c r="X236" s="6">
        <f t="shared" si="8"/>
        <v>166.6</v>
      </c>
      <c r="Y236" s="6">
        <f t="shared" si="8"/>
        <v>151</v>
      </c>
    </row>
    <row r="237" spans="1:25" x14ac:dyDescent="0.25">
      <c r="A237" s="2" t="s">
        <v>237</v>
      </c>
      <c r="B237" s="2" t="s">
        <v>238</v>
      </c>
      <c r="C237" s="2" t="s">
        <v>239</v>
      </c>
      <c r="D237" s="5">
        <v>125</v>
      </c>
      <c r="E237" s="6">
        <v>122.62</v>
      </c>
      <c r="F237" s="5">
        <v>125</v>
      </c>
      <c r="G237" s="6">
        <v>123.49</v>
      </c>
      <c r="H237" s="5">
        <v>125</v>
      </c>
      <c r="I237" s="6">
        <v>123.54</v>
      </c>
      <c r="J237" s="5">
        <v>126</v>
      </c>
      <c r="K237" s="6">
        <v>124.54</v>
      </c>
      <c r="L237" s="5">
        <v>123</v>
      </c>
      <c r="M237" s="6">
        <v>121.86</v>
      </c>
      <c r="N237" s="5">
        <v>121</v>
      </c>
      <c r="O237" s="6">
        <v>119.86</v>
      </c>
      <c r="P237" s="5">
        <v>120</v>
      </c>
      <c r="Q237" s="6">
        <v>118.86</v>
      </c>
      <c r="R237" s="5">
        <v>120</v>
      </c>
      <c r="S237" s="6">
        <v>118.82</v>
      </c>
      <c r="T237" s="5">
        <v>117</v>
      </c>
      <c r="U237" s="6">
        <v>115.97999999999999</v>
      </c>
      <c r="V237" s="5">
        <v>117</v>
      </c>
      <c r="W237" s="6">
        <v>115.97999999999999</v>
      </c>
      <c r="X237" s="6">
        <f t="shared" si="8"/>
        <v>121.9</v>
      </c>
      <c r="Y237" s="6">
        <f t="shared" si="8"/>
        <v>120.56</v>
      </c>
    </row>
    <row r="238" spans="1:25" x14ac:dyDescent="0.25">
      <c r="A238" s="2" t="s">
        <v>452</v>
      </c>
      <c r="B238" s="2" t="s">
        <v>453</v>
      </c>
      <c r="C238" s="2" t="s">
        <v>454</v>
      </c>
      <c r="D238" s="5">
        <v>170</v>
      </c>
      <c r="E238" s="6">
        <v>159.18999999999997</v>
      </c>
      <c r="F238" s="5">
        <v>170</v>
      </c>
      <c r="G238" s="6">
        <v>158.85</v>
      </c>
      <c r="H238" s="5">
        <v>171</v>
      </c>
      <c r="I238" s="6">
        <v>160.34</v>
      </c>
      <c r="J238" s="5">
        <v>176</v>
      </c>
      <c r="K238" s="6">
        <v>163.54</v>
      </c>
      <c r="L238" s="5">
        <v>172</v>
      </c>
      <c r="M238" s="6">
        <v>159.6</v>
      </c>
      <c r="N238" s="5">
        <v>179</v>
      </c>
      <c r="O238" s="6">
        <v>165.38000000000002</v>
      </c>
      <c r="P238" s="5">
        <v>179</v>
      </c>
      <c r="Q238" s="6">
        <v>171.24</v>
      </c>
      <c r="R238" s="5">
        <v>176</v>
      </c>
      <c r="S238" s="6">
        <v>168.80999999999997</v>
      </c>
      <c r="T238" s="5">
        <v>186</v>
      </c>
      <c r="U238" s="6">
        <v>174.01000000000002</v>
      </c>
      <c r="V238" s="5">
        <v>185</v>
      </c>
      <c r="W238" s="6">
        <v>172.20999999999998</v>
      </c>
      <c r="X238" s="6">
        <f t="shared" si="8"/>
        <v>176.4</v>
      </c>
      <c r="Y238" s="6">
        <f t="shared" si="8"/>
        <v>165.32</v>
      </c>
    </row>
    <row r="239" spans="1:25" x14ac:dyDescent="0.25">
      <c r="A239" s="2" t="s">
        <v>452</v>
      </c>
      <c r="B239" s="2" t="s">
        <v>453</v>
      </c>
      <c r="C239" s="2" t="s">
        <v>455</v>
      </c>
      <c r="D239" s="5">
        <v>0</v>
      </c>
      <c r="E239" s="6">
        <v>0</v>
      </c>
      <c r="F239" s="5">
        <v>37</v>
      </c>
      <c r="G239" s="6">
        <v>37</v>
      </c>
      <c r="H239" s="5">
        <v>44</v>
      </c>
      <c r="I239" s="6">
        <v>44</v>
      </c>
      <c r="J239" s="5">
        <v>54</v>
      </c>
      <c r="K239" s="6">
        <v>54</v>
      </c>
      <c r="L239" s="5">
        <v>59</v>
      </c>
      <c r="M239" s="6">
        <v>58.54</v>
      </c>
      <c r="N239" s="5">
        <v>56</v>
      </c>
      <c r="O239" s="6">
        <v>56</v>
      </c>
      <c r="P239" s="5">
        <v>56</v>
      </c>
      <c r="Q239" s="6">
        <v>56</v>
      </c>
      <c r="R239" s="5">
        <v>58</v>
      </c>
      <c r="S239" s="6">
        <v>58</v>
      </c>
      <c r="T239" s="5">
        <v>54</v>
      </c>
      <c r="U239" s="6">
        <v>54</v>
      </c>
      <c r="V239" s="5">
        <v>47</v>
      </c>
      <c r="W239" s="6">
        <v>46.82</v>
      </c>
      <c r="X239" s="6">
        <f t="shared" si="8"/>
        <v>46.5</v>
      </c>
      <c r="Y239" s="6">
        <f t="shared" si="8"/>
        <v>46.44</v>
      </c>
    </row>
    <row r="240" spans="1:25" x14ac:dyDescent="0.25">
      <c r="A240" s="2" t="s">
        <v>452</v>
      </c>
      <c r="B240" s="2" t="s">
        <v>453</v>
      </c>
      <c r="C240" s="2" t="s">
        <v>456</v>
      </c>
      <c r="D240" s="5">
        <v>81</v>
      </c>
      <c r="E240" s="6">
        <v>73.959999999999994</v>
      </c>
      <c r="F240" s="5">
        <v>79</v>
      </c>
      <c r="G240" s="6">
        <v>73.56</v>
      </c>
      <c r="H240" s="5">
        <v>81</v>
      </c>
      <c r="I240" s="6">
        <v>73.36</v>
      </c>
      <c r="J240" s="5">
        <v>80</v>
      </c>
      <c r="K240" s="6">
        <v>73.36</v>
      </c>
      <c r="L240" s="5">
        <v>77</v>
      </c>
      <c r="M240" s="6">
        <v>70.36</v>
      </c>
      <c r="N240" s="5">
        <v>74</v>
      </c>
      <c r="O240" s="6">
        <v>66.86</v>
      </c>
      <c r="P240" s="5">
        <v>73</v>
      </c>
      <c r="Q240" s="6">
        <v>64.66</v>
      </c>
      <c r="R240" s="5">
        <v>72</v>
      </c>
      <c r="S240" s="6">
        <v>64.459999999999994</v>
      </c>
      <c r="T240" s="5">
        <v>74</v>
      </c>
      <c r="U240" s="6">
        <v>65.459999999999994</v>
      </c>
      <c r="V240" s="5">
        <v>74</v>
      </c>
      <c r="W240" s="6">
        <v>66.06</v>
      </c>
      <c r="X240" s="6">
        <f t="shared" si="8"/>
        <v>76.5</v>
      </c>
      <c r="Y240" s="6">
        <f t="shared" si="8"/>
        <v>69.209999999999994</v>
      </c>
    </row>
    <row r="241" spans="1:25" x14ac:dyDescent="0.25">
      <c r="A241" s="2" t="s">
        <v>224</v>
      </c>
      <c r="B241" s="2" t="s">
        <v>225</v>
      </c>
      <c r="C241" s="2" t="s">
        <v>226</v>
      </c>
      <c r="D241" s="5">
        <v>186</v>
      </c>
      <c r="E241" s="6">
        <v>181.78</v>
      </c>
      <c r="F241" s="5">
        <v>203</v>
      </c>
      <c r="G241" s="6">
        <v>197.47</v>
      </c>
      <c r="H241" s="5">
        <v>211</v>
      </c>
      <c r="I241" s="6">
        <v>205.09</v>
      </c>
      <c r="J241" s="5">
        <v>214</v>
      </c>
      <c r="K241" s="6">
        <v>208.63</v>
      </c>
      <c r="L241" s="5">
        <v>215</v>
      </c>
      <c r="M241" s="6">
        <v>209.65</v>
      </c>
      <c r="N241" s="5">
        <v>223</v>
      </c>
      <c r="O241" s="6">
        <v>215.69</v>
      </c>
      <c r="P241" s="5">
        <v>229</v>
      </c>
      <c r="Q241" s="6">
        <v>221.31</v>
      </c>
      <c r="R241" s="5">
        <v>226</v>
      </c>
      <c r="S241" s="6">
        <v>218.93</v>
      </c>
      <c r="T241" s="5">
        <v>236</v>
      </c>
      <c r="U241" s="6">
        <v>229.5</v>
      </c>
      <c r="V241" s="5">
        <v>237</v>
      </c>
      <c r="W241" s="6">
        <v>230.66</v>
      </c>
      <c r="X241" s="6">
        <f t="shared" si="8"/>
        <v>218</v>
      </c>
      <c r="Y241" s="6">
        <f t="shared" si="8"/>
        <v>211.87</v>
      </c>
    </row>
    <row r="242" spans="1:25" x14ac:dyDescent="0.25">
      <c r="A242" s="2" t="s">
        <v>137</v>
      </c>
      <c r="B242" s="2" t="s">
        <v>138</v>
      </c>
      <c r="C242" s="2" t="s">
        <v>139</v>
      </c>
      <c r="D242" s="5">
        <v>12</v>
      </c>
      <c r="E242" s="6">
        <v>10.3</v>
      </c>
      <c r="F242" s="5">
        <v>21</v>
      </c>
      <c r="G242" s="6">
        <v>14.67</v>
      </c>
      <c r="H242" s="5">
        <v>33</v>
      </c>
      <c r="I242" s="6">
        <v>24.16</v>
      </c>
      <c r="J242" s="5">
        <v>36</v>
      </c>
      <c r="K242" s="6">
        <v>29.74</v>
      </c>
      <c r="L242" s="5">
        <v>40</v>
      </c>
      <c r="M242" s="6">
        <v>30.89</v>
      </c>
      <c r="N242" s="5">
        <v>36</v>
      </c>
      <c r="O242" s="6">
        <v>27.4</v>
      </c>
      <c r="P242" s="5">
        <v>40</v>
      </c>
      <c r="Q242" s="6">
        <v>27.31</v>
      </c>
      <c r="R242" s="5">
        <v>35</v>
      </c>
      <c r="S242" s="6">
        <v>27.46</v>
      </c>
      <c r="T242" s="5">
        <v>0</v>
      </c>
      <c r="U242" s="6">
        <v>0</v>
      </c>
      <c r="V242" s="5">
        <v>0</v>
      </c>
      <c r="W242" s="6">
        <v>0</v>
      </c>
      <c r="X242" s="6">
        <f t="shared" si="8"/>
        <v>25.3</v>
      </c>
      <c r="Y242" s="6">
        <f t="shared" si="8"/>
        <v>19.190000000000001</v>
      </c>
    </row>
    <row r="243" spans="1:25" x14ac:dyDescent="0.25">
      <c r="A243" s="2" t="s">
        <v>354</v>
      </c>
      <c r="B243" s="2" t="s">
        <v>355</v>
      </c>
      <c r="C243" s="2" t="s">
        <v>356</v>
      </c>
      <c r="D243" s="5">
        <v>56</v>
      </c>
      <c r="E243" s="6">
        <v>56</v>
      </c>
      <c r="F243" s="5">
        <v>86</v>
      </c>
      <c r="G243" s="6">
        <v>86</v>
      </c>
      <c r="H243" s="5">
        <v>113</v>
      </c>
      <c r="I243" s="6">
        <v>113</v>
      </c>
      <c r="J243" s="5">
        <v>105</v>
      </c>
      <c r="K243" s="6">
        <v>105</v>
      </c>
      <c r="L243" s="5">
        <v>102</v>
      </c>
      <c r="M243" s="6">
        <v>102</v>
      </c>
      <c r="N243" s="5">
        <v>157</v>
      </c>
      <c r="O243" s="6">
        <v>157</v>
      </c>
      <c r="P243" s="5">
        <v>159</v>
      </c>
      <c r="Q243" s="6">
        <v>159</v>
      </c>
      <c r="R243" s="5">
        <v>167</v>
      </c>
      <c r="S243" s="6">
        <v>167</v>
      </c>
      <c r="T243" s="5">
        <v>158</v>
      </c>
      <c r="U243" s="6">
        <v>158</v>
      </c>
      <c r="V243" s="5">
        <v>143</v>
      </c>
      <c r="W243" s="6">
        <v>143</v>
      </c>
      <c r="X243" s="6">
        <f t="shared" si="8"/>
        <v>124.6</v>
      </c>
      <c r="Y243" s="6">
        <f t="shared" si="8"/>
        <v>124.6</v>
      </c>
    </row>
    <row r="244" spans="1:25" x14ac:dyDescent="0.25">
      <c r="A244" s="2" t="s">
        <v>354</v>
      </c>
      <c r="B244" s="2" t="s">
        <v>355</v>
      </c>
      <c r="C244" s="2" t="s">
        <v>357</v>
      </c>
      <c r="D244" s="5">
        <v>250</v>
      </c>
      <c r="E244" s="6">
        <v>250</v>
      </c>
      <c r="F244" s="5">
        <v>415</v>
      </c>
      <c r="G244" s="6">
        <v>415</v>
      </c>
      <c r="H244" s="5">
        <v>559</v>
      </c>
      <c r="I244" s="6">
        <v>559</v>
      </c>
      <c r="J244" s="5">
        <v>528</v>
      </c>
      <c r="K244" s="6">
        <v>528</v>
      </c>
      <c r="L244" s="5">
        <v>504</v>
      </c>
      <c r="M244" s="6">
        <v>504</v>
      </c>
      <c r="N244" s="5">
        <v>804</v>
      </c>
      <c r="O244" s="6">
        <v>804</v>
      </c>
      <c r="P244" s="5">
        <v>898</v>
      </c>
      <c r="Q244" s="6">
        <v>897.64</v>
      </c>
      <c r="R244" s="5">
        <v>909</v>
      </c>
      <c r="S244" s="6">
        <v>908.64</v>
      </c>
      <c r="T244" s="5">
        <v>859</v>
      </c>
      <c r="U244" s="6">
        <v>858.46</v>
      </c>
      <c r="V244" s="5">
        <v>791</v>
      </c>
      <c r="W244" s="6">
        <v>790.64</v>
      </c>
      <c r="X244" s="6">
        <f t="shared" si="8"/>
        <v>651.70000000000005</v>
      </c>
      <c r="Y244" s="6">
        <f t="shared" si="8"/>
        <v>651.54</v>
      </c>
    </row>
    <row r="245" spans="1:25" x14ac:dyDescent="0.25">
      <c r="A245" s="2" t="s">
        <v>354</v>
      </c>
      <c r="B245" s="2" t="s">
        <v>355</v>
      </c>
      <c r="C245" s="2" t="s">
        <v>358</v>
      </c>
      <c r="D245" s="5">
        <v>0</v>
      </c>
      <c r="E245" s="6">
        <v>0</v>
      </c>
      <c r="F245" s="5">
        <v>0</v>
      </c>
      <c r="G245" s="6">
        <v>0</v>
      </c>
      <c r="H245" s="5">
        <v>4</v>
      </c>
      <c r="I245" s="6">
        <v>4</v>
      </c>
      <c r="J245" s="5">
        <v>8</v>
      </c>
      <c r="K245" s="6">
        <v>8</v>
      </c>
      <c r="L245" s="5">
        <v>6</v>
      </c>
      <c r="M245" s="6">
        <v>6</v>
      </c>
      <c r="N245" s="5">
        <v>95</v>
      </c>
      <c r="O245" s="6">
        <v>95</v>
      </c>
      <c r="P245" s="5">
        <v>124</v>
      </c>
      <c r="Q245" s="6">
        <v>124</v>
      </c>
      <c r="R245" s="5">
        <v>130</v>
      </c>
      <c r="S245" s="6">
        <v>130</v>
      </c>
      <c r="T245" s="5">
        <v>120</v>
      </c>
      <c r="U245" s="6">
        <v>119.86</v>
      </c>
      <c r="V245" s="5">
        <v>108</v>
      </c>
      <c r="W245" s="6">
        <v>108</v>
      </c>
      <c r="X245" s="6">
        <f t="shared" si="8"/>
        <v>59.5</v>
      </c>
      <c r="Y245" s="6">
        <f t="shared" si="8"/>
        <v>59.49</v>
      </c>
    </row>
    <row r="246" spans="1:25" x14ac:dyDescent="0.25">
      <c r="A246" s="2" t="s">
        <v>271</v>
      </c>
      <c r="B246" s="2" t="s">
        <v>272</v>
      </c>
      <c r="C246" s="2" t="s">
        <v>273</v>
      </c>
      <c r="D246" s="5">
        <v>219</v>
      </c>
      <c r="E246" s="6">
        <v>214.24</v>
      </c>
      <c r="F246" s="5">
        <v>221</v>
      </c>
      <c r="G246" s="6">
        <v>215.44</v>
      </c>
      <c r="H246" s="5">
        <v>217</v>
      </c>
      <c r="I246" s="6">
        <v>206.37</v>
      </c>
      <c r="J246" s="5">
        <v>226</v>
      </c>
      <c r="K246" s="6">
        <v>219.44</v>
      </c>
      <c r="L246" s="5">
        <v>227</v>
      </c>
      <c r="M246" s="6">
        <v>220.84</v>
      </c>
      <c r="N246" s="5">
        <v>230</v>
      </c>
      <c r="O246" s="6">
        <v>213.84</v>
      </c>
      <c r="P246" s="5">
        <v>230</v>
      </c>
      <c r="Q246" s="6">
        <v>211.04000000000002</v>
      </c>
      <c r="R246" s="5">
        <v>233</v>
      </c>
      <c r="S246" s="6">
        <v>214.34</v>
      </c>
      <c r="T246" s="5">
        <v>231</v>
      </c>
      <c r="U246" s="6">
        <v>212.67000000000002</v>
      </c>
      <c r="V246" s="5">
        <v>225</v>
      </c>
      <c r="W246" s="6">
        <v>206.17000000000002</v>
      </c>
      <c r="X246" s="6">
        <f t="shared" si="8"/>
        <v>225.9</v>
      </c>
      <c r="Y246" s="6">
        <f t="shared" si="8"/>
        <v>213.44</v>
      </c>
    </row>
    <row r="247" spans="1:25" x14ac:dyDescent="0.25">
      <c r="A247" s="2" t="s">
        <v>271</v>
      </c>
      <c r="B247" s="2" t="s">
        <v>272</v>
      </c>
      <c r="C247" s="2" t="s">
        <v>274</v>
      </c>
      <c r="D247" s="5">
        <v>280</v>
      </c>
      <c r="E247" s="6">
        <v>262.56</v>
      </c>
      <c r="F247" s="5">
        <v>287</v>
      </c>
      <c r="G247" s="6">
        <v>269.47000000000003</v>
      </c>
      <c r="H247" s="5">
        <v>298</v>
      </c>
      <c r="I247" s="6">
        <v>279.23</v>
      </c>
      <c r="J247" s="5">
        <v>297</v>
      </c>
      <c r="K247" s="6">
        <v>278.05</v>
      </c>
      <c r="L247" s="5">
        <v>295</v>
      </c>
      <c r="M247" s="6">
        <v>277.20999999999998</v>
      </c>
      <c r="N247" s="5">
        <v>312</v>
      </c>
      <c r="O247" s="6">
        <v>295.54000000000002</v>
      </c>
      <c r="P247" s="5">
        <v>317</v>
      </c>
      <c r="Q247" s="6">
        <v>300.58</v>
      </c>
      <c r="R247" s="5">
        <v>325</v>
      </c>
      <c r="S247" s="6">
        <v>308.94</v>
      </c>
      <c r="T247" s="5">
        <v>319</v>
      </c>
      <c r="U247" s="6">
        <v>302.45999999999998</v>
      </c>
      <c r="V247" s="5">
        <v>315</v>
      </c>
      <c r="W247" s="6">
        <v>296.82</v>
      </c>
      <c r="X247" s="6">
        <f t="shared" si="8"/>
        <v>304.5</v>
      </c>
      <c r="Y247" s="6">
        <f t="shared" si="8"/>
        <v>287.08999999999997</v>
      </c>
    </row>
    <row r="248" spans="1:25" x14ac:dyDescent="0.25">
      <c r="A248" s="2" t="s">
        <v>179</v>
      </c>
      <c r="B248" s="2" t="s">
        <v>180</v>
      </c>
      <c r="C248" s="2" t="s">
        <v>181</v>
      </c>
      <c r="D248" s="5">
        <v>62</v>
      </c>
      <c r="E248" s="6">
        <v>61.27</v>
      </c>
      <c r="F248" s="5">
        <v>63</v>
      </c>
      <c r="G248" s="6">
        <v>62.19</v>
      </c>
      <c r="H248" s="5">
        <v>66</v>
      </c>
      <c r="I248" s="6">
        <v>65.150000000000006</v>
      </c>
      <c r="J248" s="5">
        <v>68</v>
      </c>
      <c r="K248" s="6">
        <v>67.02000000000001</v>
      </c>
      <c r="L248" s="5">
        <v>69</v>
      </c>
      <c r="M248" s="6">
        <v>68.02</v>
      </c>
      <c r="N248" s="5">
        <v>68</v>
      </c>
      <c r="O248" s="6">
        <v>66.7</v>
      </c>
      <c r="P248" s="5">
        <v>66</v>
      </c>
      <c r="Q248" s="6">
        <v>64.53</v>
      </c>
      <c r="R248" s="5">
        <v>69</v>
      </c>
      <c r="S248" s="6">
        <v>66.7</v>
      </c>
      <c r="T248" s="5">
        <v>70</v>
      </c>
      <c r="U248" s="6">
        <v>67.7</v>
      </c>
      <c r="V248" s="5">
        <v>70</v>
      </c>
      <c r="W248" s="6">
        <v>67.7</v>
      </c>
      <c r="X248" s="6">
        <f t="shared" si="8"/>
        <v>67.099999999999994</v>
      </c>
      <c r="Y248" s="6">
        <f t="shared" si="8"/>
        <v>65.7</v>
      </c>
    </row>
    <row r="249" spans="1:25" x14ac:dyDescent="0.25">
      <c r="A249" s="2" t="s">
        <v>467</v>
      </c>
      <c r="B249" s="2" t="s">
        <v>468</v>
      </c>
      <c r="C249" s="2" t="s">
        <v>469</v>
      </c>
      <c r="D249" s="5">
        <v>6</v>
      </c>
      <c r="E249" s="6">
        <v>2.66</v>
      </c>
      <c r="F249" s="5">
        <v>12</v>
      </c>
      <c r="G249" s="6">
        <v>5.94</v>
      </c>
      <c r="H249" s="5">
        <v>15</v>
      </c>
      <c r="I249" s="6">
        <v>6.94</v>
      </c>
      <c r="J249" s="5">
        <v>22</v>
      </c>
      <c r="K249" s="6">
        <v>9.4</v>
      </c>
      <c r="L249" s="5">
        <v>22</v>
      </c>
      <c r="M249" s="6">
        <v>9.0399999999999991</v>
      </c>
      <c r="N249" s="5">
        <v>24</v>
      </c>
      <c r="O249" s="6">
        <v>7.9</v>
      </c>
      <c r="P249" s="5">
        <v>25</v>
      </c>
      <c r="Q249" s="6">
        <v>9.36</v>
      </c>
      <c r="R249" s="5">
        <v>22</v>
      </c>
      <c r="S249" s="6">
        <v>9.34</v>
      </c>
      <c r="T249" s="5">
        <v>28</v>
      </c>
      <c r="U249" s="6">
        <v>10.18</v>
      </c>
      <c r="V249" s="5">
        <v>28</v>
      </c>
      <c r="W249" s="6">
        <v>9.6999999999999993</v>
      </c>
      <c r="X249" s="6">
        <f t="shared" si="8"/>
        <v>20.399999999999999</v>
      </c>
      <c r="Y249" s="6">
        <f t="shared" si="8"/>
        <v>8.0500000000000007</v>
      </c>
    </row>
    <row r="250" spans="1:25" x14ac:dyDescent="0.25">
      <c r="A250" s="2" t="s">
        <v>467</v>
      </c>
      <c r="B250" s="2" t="s">
        <v>468</v>
      </c>
      <c r="C250" s="2" t="s">
        <v>470</v>
      </c>
      <c r="D250" s="5">
        <v>0</v>
      </c>
      <c r="E250" s="6">
        <v>0</v>
      </c>
      <c r="F250" s="5">
        <v>3</v>
      </c>
      <c r="G250" s="6">
        <v>1.26</v>
      </c>
      <c r="H250" s="5">
        <v>4</v>
      </c>
      <c r="I250" s="6">
        <v>1.98</v>
      </c>
      <c r="J250" s="5">
        <v>5</v>
      </c>
      <c r="K250" s="6">
        <v>2.52</v>
      </c>
      <c r="L250" s="5">
        <v>6</v>
      </c>
      <c r="M250" s="6">
        <v>2.1800000000000002</v>
      </c>
      <c r="N250" s="5">
        <v>8</v>
      </c>
      <c r="O250" s="6">
        <v>3.6</v>
      </c>
      <c r="P250" s="5">
        <v>12</v>
      </c>
      <c r="Q250" s="6">
        <v>4.0999999999999996</v>
      </c>
      <c r="R250" s="5">
        <v>12</v>
      </c>
      <c r="S250" s="6">
        <v>4.26</v>
      </c>
      <c r="T250" s="5">
        <v>13</v>
      </c>
      <c r="U250" s="6">
        <v>4.9800000000000004</v>
      </c>
      <c r="V250" s="5">
        <v>15</v>
      </c>
      <c r="W250" s="6">
        <v>5.7</v>
      </c>
      <c r="X250" s="6">
        <f t="shared" si="8"/>
        <v>7.8</v>
      </c>
      <c r="Y250" s="6">
        <f t="shared" si="8"/>
        <v>3.06</v>
      </c>
    </row>
    <row r="251" spans="1:25" x14ac:dyDescent="0.25">
      <c r="A251" s="2" t="s">
        <v>467</v>
      </c>
      <c r="B251" s="2" t="s">
        <v>468</v>
      </c>
      <c r="C251" s="2" t="s">
        <v>471</v>
      </c>
      <c r="D251" s="5">
        <v>1</v>
      </c>
      <c r="E251" s="6">
        <v>0.54</v>
      </c>
      <c r="F251" s="5">
        <v>1</v>
      </c>
      <c r="G251" s="6">
        <v>0.54</v>
      </c>
      <c r="H251" s="5">
        <v>2</v>
      </c>
      <c r="I251" s="6">
        <v>1.64</v>
      </c>
      <c r="J251" s="5">
        <v>8</v>
      </c>
      <c r="K251" s="6">
        <v>7.64</v>
      </c>
      <c r="L251" s="5">
        <v>7</v>
      </c>
      <c r="M251" s="6">
        <v>6.36</v>
      </c>
      <c r="N251" s="5">
        <v>6</v>
      </c>
      <c r="O251" s="6">
        <v>5.46</v>
      </c>
      <c r="P251" s="5">
        <v>8</v>
      </c>
      <c r="Q251" s="6">
        <v>7.54</v>
      </c>
      <c r="R251" s="5">
        <v>6</v>
      </c>
      <c r="S251" s="6">
        <v>5.82</v>
      </c>
      <c r="T251" s="5">
        <v>8</v>
      </c>
      <c r="U251" s="6">
        <v>7.82</v>
      </c>
      <c r="V251" s="5">
        <v>11</v>
      </c>
      <c r="W251" s="6">
        <v>10.82</v>
      </c>
      <c r="X251" s="6">
        <f t="shared" si="8"/>
        <v>5.8</v>
      </c>
      <c r="Y251" s="6">
        <f t="shared" si="8"/>
        <v>5.42</v>
      </c>
    </row>
    <row r="252" spans="1:25" x14ac:dyDescent="0.25">
      <c r="A252" s="2" t="s">
        <v>467</v>
      </c>
      <c r="B252" s="2" t="s">
        <v>468</v>
      </c>
      <c r="C252" s="2" t="s">
        <v>472</v>
      </c>
      <c r="D252" s="5">
        <v>1</v>
      </c>
      <c r="E252" s="6">
        <v>0.36</v>
      </c>
      <c r="F252" s="5">
        <v>5</v>
      </c>
      <c r="G252" s="6">
        <v>3.38</v>
      </c>
      <c r="H252" s="5">
        <v>8</v>
      </c>
      <c r="I252" s="6">
        <v>6.1</v>
      </c>
      <c r="J252" s="5">
        <v>7</v>
      </c>
      <c r="K252" s="6">
        <v>5.74</v>
      </c>
      <c r="L252" s="5">
        <v>8</v>
      </c>
      <c r="M252" s="6">
        <v>6.1</v>
      </c>
      <c r="N252" s="5">
        <v>8</v>
      </c>
      <c r="O252" s="6">
        <v>6.62</v>
      </c>
      <c r="P252" s="5">
        <v>9</v>
      </c>
      <c r="Q252" s="6">
        <v>7.02</v>
      </c>
      <c r="R252" s="5">
        <v>10</v>
      </c>
      <c r="S252" s="6">
        <v>6.26</v>
      </c>
      <c r="T252" s="5">
        <v>9</v>
      </c>
      <c r="U252" s="6">
        <v>6.08</v>
      </c>
      <c r="V252" s="5">
        <v>8</v>
      </c>
      <c r="W252" s="6">
        <v>5</v>
      </c>
      <c r="X252" s="6">
        <f t="shared" si="8"/>
        <v>7.3</v>
      </c>
      <c r="Y252" s="6">
        <f t="shared" si="8"/>
        <v>5.27</v>
      </c>
    </row>
    <row r="253" spans="1:25" x14ac:dyDescent="0.25">
      <c r="A253" s="2" t="s">
        <v>467</v>
      </c>
      <c r="B253" s="2" t="s">
        <v>468</v>
      </c>
      <c r="C253" s="2" t="s">
        <v>473</v>
      </c>
      <c r="D253" s="5">
        <v>33</v>
      </c>
      <c r="E253" s="6">
        <v>33</v>
      </c>
      <c r="F253" s="5">
        <v>31</v>
      </c>
      <c r="G253" s="6">
        <v>31</v>
      </c>
      <c r="H253" s="5">
        <v>27</v>
      </c>
      <c r="I253" s="6">
        <v>27</v>
      </c>
      <c r="J253" s="5">
        <v>34</v>
      </c>
      <c r="K253" s="6">
        <v>34</v>
      </c>
      <c r="L253" s="5">
        <v>29</v>
      </c>
      <c r="M253" s="6">
        <v>29</v>
      </c>
      <c r="N253" s="5">
        <v>32</v>
      </c>
      <c r="O253" s="6">
        <v>32</v>
      </c>
      <c r="P253" s="5">
        <v>31</v>
      </c>
      <c r="Q253" s="6">
        <v>31</v>
      </c>
      <c r="R253" s="5">
        <v>30</v>
      </c>
      <c r="S253" s="6">
        <v>30</v>
      </c>
      <c r="T253" s="5">
        <v>27</v>
      </c>
      <c r="U253" s="6">
        <v>27</v>
      </c>
      <c r="V253" s="5">
        <v>26</v>
      </c>
      <c r="W253" s="6">
        <v>26</v>
      </c>
      <c r="X253" s="6">
        <f t="shared" si="8"/>
        <v>30</v>
      </c>
      <c r="Y253" s="6">
        <f t="shared" si="8"/>
        <v>30</v>
      </c>
    </row>
    <row r="254" spans="1:25" x14ac:dyDescent="0.25">
      <c r="A254" s="2" t="s">
        <v>467</v>
      </c>
      <c r="B254" s="2" t="s">
        <v>468</v>
      </c>
      <c r="C254" s="2" t="s">
        <v>474</v>
      </c>
      <c r="D254" s="5">
        <v>96</v>
      </c>
      <c r="E254" s="6">
        <v>79.3</v>
      </c>
      <c r="F254" s="5">
        <v>122</v>
      </c>
      <c r="G254" s="6">
        <v>100.58</v>
      </c>
      <c r="H254" s="5">
        <v>154</v>
      </c>
      <c r="I254" s="6">
        <v>118.98</v>
      </c>
      <c r="J254" s="5">
        <v>147</v>
      </c>
      <c r="K254" s="6">
        <v>127.7</v>
      </c>
      <c r="L254" s="5">
        <v>151</v>
      </c>
      <c r="M254" s="6">
        <v>131.26</v>
      </c>
      <c r="N254" s="5">
        <v>153</v>
      </c>
      <c r="O254" s="6">
        <v>135.80000000000001</v>
      </c>
      <c r="P254" s="5">
        <v>169</v>
      </c>
      <c r="Q254" s="6">
        <v>146.22</v>
      </c>
      <c r="R254" s="5">
        <v>188</v>
      </c>
      <c r="S254" s="6">
        <v>167.84</v>
      </c>
      <c r="T254" s="5">
        <v>178</v>
      </c>
      <c r="U254" s="6">
        <v>157.9</v>
      </c>
      <c r="V254" s="5">
        <v>177</v>
      </c>
      <c r="W254" s="6">
        <v>155.82</v>
      </c>
      <c r="X254" s="6">
        <f t="shared" si="8"/>
        <v>153.5</v>
      </c>
      <c r="Y254" s="6">
        <f t="shared" si="8"/>
        <v>132.13999999999999</v>
      </c>
    </row>
    <row r="255" spans="1:25" x14ac:dyDescent="0.25">
      <c r="A255" s="2" t="s">
        <v>467</v>
      </c>
      <c r="B255" s="2" t="s">
        <v>468</v>
      </c>
      <c r="C255" s="2" t="s">
        <v>475</v>
      </c>
      <c r="D255" s="5">
        <v>443</v>
      </c>
      <c r="E255" s="6">
        <v>430.66</v>
      </c>
      <c r="F255" s="5">
        <v>466</v>
      </c>
      <c r="G255" s="6">
        <v>452.92999999999995</v>
      </c>
      <c r="H255" s="5">
        <v>486</v>
      </c>
      <c r="I255" s="6">
        <v>472.92999999999995</v>
      </c>
      <c r="J255" s="5">
        <v>500</v>
      </c>
      <c r="K255" s="6">
        <v>489.26</v>
      </c>
      <c r="L255" s="5">
        <v>517</v>
      </c>
      <c r="M255" s="6">
        <v>501.95</v>
      </c>
      <c r="N255" s="5">
        <v>518</v>
      </c>
      <c r="O255" s="6">
        <v>507.63</v>
      </c>
      <c r="P255" s="5">
        <v>532</v>
      </c>
      <c r="Q255" s="6">
        <v>522.13</v>
      </c>
      <c r="R255" s="5">
        <v>555</v>
      </c>
      <c r="S255" s="6">
        <v>544.29</v>
      </c>
      <c r="T255" s="5">
        <v>560</v>
      </c>
      <c r="U255" s="6">
        <v>549.79999999999995</v>
      </c>
      <c r="V255" s="5">
        <v>577</v>
      </c>
      <c r="W255" s="6">
        <v>567.13</v>
      </c>
      <c r="X255" s="6">
        <f t="shared" si="8"/>
        <v>515.4</v>
      </c>
      <c r="Y255" s="6">
        <f t="shared" si="8"/>
        <v>503.87</v>
      </c>
    </row>
    <row r="256" spans="1:25" x14ac:dyDescent="0.25">
      <c r="A256" s="2" t="s">
        <v>467</v>
      </c>
      <c r="B256" s="2" t="s">
        <v>468</v>
      </c>
      <c r="C256" s="2" t="s">
        <v>476</v>
      </c>
      <c r="D256" s="5">
        <v>3</v>
      </c>
      <c r="E256" s="6">
        <v>1.62</v>
      </c>
      <c r="F256" s="5">
        <v>6</v>
      </c>
      <c r="G256" s="6">
        <v>2.36</v>
      </c>
      <c r="H256" s="5">
        <v>9</v>
      </c>
      <c r="I256" s="6">
        <v>6.6</v>
      </c>
      <c r="J256" s="5">
        <v>12</v>
      </c>
      <c r="K256" s="6">
        <v>6.73</v>
      </c>
      <c r="L256" s="5">
        <v>15</v>
      </c>
      <c r="M256" s="6">
        <v>8.36</v>
      </c>
      <c r="N256" s="5">
        <v>12</v>
      </c>
      <c r="O256" s="6">
        <v>4.74</v>
      </c>
      <c r="P256" s="5">
        <v>15</v>
      </c>
      <c r="Q256" s="6">
        <v>5.79</v>
      </c>
      <c r="R256" s="5">
        <v>19</v>
      </c>
      <c r="S256" s="6">
        <v>11.03</v>
      </c>
      <c r="T256" s="5">
        <v>17</v>
      </c>
      <c r="U256" s="6">
        <v>7.18</v>
      </c>
      <c r="V256" s="5">
        <v>17</v>
      </c>
      <c r="W256" s="6">
        <v>7.28</v>
      </c>
      <c r="X256" s="6">
        <f t="shared" si="8"/>
        <v>12.5</v>
      </c>
      <c r="Y256" s="6">
        <f t="shared" si="8"/>
        <v>6.17</v>
      </c>
    </row>
    <row r="257" spans="1:25" x14ac:dyDescent="0.25">
      <c r="A257" s="2" t="s">
        <v>467</v>
      </c>
      <c r="B257" s="2" t="s">
        <v>468</v>
      </c>
      <c r="C257" s="2" t="s">
        <v>477</v>
      </c>
      <c r="D257" s="5">
        <v>0</v>
      </c>
      <c r="E257" s="6">
        <v>0</v>
      </c>
      <c r="F257" s="5">
        <v>0</v>
      </c>
      <c r="G257" s="6">
        <v>0</v>
      </c>
      <c r="H257" s="5">
        <v>1</v>
      </c>
      <c r="I257" s="6">
        <v>0.1</v>
      </c>
      <c r="J257" s="5">
        <v>4</v>
      </c>
      <c r="K257" s="6">
        <v>1.44</v>
      </c>
      <c r="L257" s="5">
        <v>4</v>
      </c>
      <c r="M257" s="6">
        <v>1.1200000000000001</v>
      </c>
      <c r="N257" s="5">
        <v>3</v>
      </c>
      <c r="O257" s="6">
        <v>0.64</v>
      </c>
      <c r="P257" s="5">
        <v>4</v>
      </c>
      <c r="Q257" s="6">
        <v>0.84</v>
      </c>
      <c r="R257" s="5">
        <v>4</v>
      </c>
      <c r="S257" s="6">
        <v>0.94</v>
      </c>
      <c r="T257" s="5">
        <v>4</v>
      </c>
      <c r="U257" s="6">
        <v>0.94</v>
      </c>
      <c r="V257" s="5">
        <v>5</v>
      </c>
      <c r="W257" s="6">
        <v>1.22</v>
      </c>
      <c r="X257" s="6">
        <f t="shared" si="8"/>
        <v>2.9</v>
      </c>
      <c r="Y257" s="6">
        <f t="shared" si="8"/>
        <v>0.72</v>
      </c>
    </row>
    <row r="258" spans="1:25" x14ac:dyDescent="0.25">
      <c r="A258" s="2" t="s">
        <v>467</v>
      </c>
      <c r="B258" s="2" t="s">
        <v>468</v>
      </c>
      <c r="C258" s="2" t="s">
        <v>478</v>
      </c>
      <c r="D258" s="5">
        <v>3</v>
      </c>
      <c r="E258" s="6">
        <v>1.74</v>
      </c>
      <c r="F258" s="5">
        <v>4</v>
      </c>
      <c r="G258" s="6">
        <v>2.64</v>
      </c>
      <c r="H258" s="5">
        <v>3</v>
      </c>
      <c r="I258" s="6">
        <v>2.46</v>
      </c>
      <c r="J258" s="5">
        <v>3</v>
      </c>
      <c r="K258" s="6">
        <v>2.4</v>
      </c>
      <c r="L258" s="5">
        <v>6</v>
      </c>
      <c r="M258" s="6">
        <v>4.5599999999999996</v>
      </c>
      <c r="N258" s="5">
        <v>11</v>
      </c>
      <c r="O258" s="6">
        <v>6.64</v>
      </c>
      <c r="P258" s="5">
        <v>13</v>
      </c>
      <c r="Q258" s="6">
        <v>9.9600000000000009</v>
      </c>
      <c r="R258" s="5">
        <v>15</v>
      </c>
      <c r="S258" s="6">
        <v>10.24</v>
      </c>
      <c r="T258" s="5">
        <v>14</v>
      </c>
      <c r="U258" s="6">
        <v>9.2200000000000006</v>
      </c>
      <c r="V258" s="5">
        <v>16</v>
      </c>
      <c r="W258" s="6">
        <v>8.74</v>
      </c>
      <c r="X258" s="6">
        <f t="shared" si="8"/>
        <v>8.8000000000000007</v>
      </c>
      <c r="Y258" s="6">
        <f t="shared" si="8"/>
        <v>5.86</v>
      </c>
    </row>
    <row r="259" spans="1:25" x14ac:dyDescent="0.25">
      <c r="A259" s="2" t="s">
        <v>467</v>
      </c>
      <c r="B259" s="2" t="s">
        <v>468</v>
      </c>
      <c r="C259" s="2" t="s">
        <v>479</v>
      </c>
      <c r="D259" s="5">
        <v>2</v>
      </c>
      <c r="E259" s="6">
        <v>1.82</v>
      </c>
      <c r="F259" s="5">
        <v>4</v>
      </c>
      <c r="G259" s="6">
        <v>3.46</v>
      </c>
      <c r="H259" s="5">
        <v>7</v>
      </c>
      <c r="I259" s="6">
        <v>6.82</v>
      </c>
      <c r="J259" s="5">
        <v>9</v>
      </c>
      <c r="K259" s="6">
        <v>7.41</v>
      </c>
      <c r="L259" s="5">
        <v>23</v>
      </c>
      <c r="M259" s="6">
        <v>15.36</v>
      </c>
      <c r="N259" s="5">
        <v>31</v>
      </c>
      <c r="O259" s="6">
        <v>22.56</v>
      </c>
      <c r="P259" s="5">
        <v>31</v>
      </c>
      <c r="Q259" s="6">
        <v>25.42</v>
      </c>
      <c r="R259" s="5">
        <v>37</v>
      </c>
      <c r="S259" s="6">
        <v>33.22</v>
      </c>
      <c r="T259" s="5">
        <v>34</v>
      </c>
      <c r="U259" s="6">
        <v>27.58</v>
      </c>
      <c r="V259" s="5">
        <v>34</v>
      </c>
      <c r="W259" s="6">
        <v>28.38</v>
      </c>
      <c r="X259" s="6">
        <f t="shared" si="8"/>
        <v>21.2</v>
      </c>
      <c r="Y259" s="6">
        <f t="shared" si="8"/>
        <v>17.2</v>
      </c>
    </row>
    <row r="260" spans="1:25" x14ac:dyDescent="0.25">
      <c r="A260" s="2" t="s">
        <v>467</v>
      </c>
      <c r="B260" s="2" t="s">
        <v>468</v>
      </c>
      <c r="C260" s="2" t="s">
        <v>480</v>
      </c>
      <c r="D260" s="5">
        <v>42</v>
      </c>
      <c r="E260" s="6">
        <v>36.979999999999997</v>
      </c>
      <c r="F260" s="5">
        <v>45</v>
      </c>
      <c r="G260" s="6">
        <v>44.01</v>
      </c>
      <c r="H260" s="5">
        <v>58</v>
      </c>
      <c r="I260" s="6">
        <v>50.54</v>
      </c>
      <c r="J260" s="5">
        <v>66</v>
      </c>
      <c r="K260" s="6">
        <v>59.04</v>
      </c>
      <c r="L260" s="5">
        <v>69</v>
      </c>
      <c r="M260" s="6">
        <v>57.24</v>
      </c>
      <c r="N260" s="5">
        <v>70</v>
      </c>
      <c r="O260" s="6">
        <v>64.5</v>
      </c>
      <c r="P260" s="5">
        <v>78</v>
      </c>
      <c r="Q260" s="6">
        <v>74.760000000000005</v>
      </c>
      <c r="R260" s="5">
        <v>90</v>
      </c>
      <c r="S260" s="6">
        <v>83.06</v>
      </c>
      <c r="T260" s="5">
        <v>94</v>
      </c>
      <c r="U260" s="6">
        <v>87.42</v>
      </c>
      <c r="V260" s="5">
        <v>97</v>
      </c>
      <c r="W260" s="6">
        <v>89.12</v>
      </c>
      <c r="X260" s="6">
        <f t="shared" si="8"/>
        <v>70.900000000000006</v>
      </c>
      <c r="Y260" s="6">
        <f t="shared" si="8"/>
        <v>64.67</v>
      </c>
    </row>
    <row r="261" spans="1:25" x14ac:dyDescent="0.25">
      <c r="A261" s="2" t="s">
        <v>467</v>
      </c>
      <c r="B261" s="2" t="s">
        <v>468</v>
      </c>
      <c r="C261" s="2" t="s">
        <v>481</v>
      </c>
      <c r="D261" s="5">
        <v>13</v>
      </c>
      <c r="E261" s="6">
        <v>6.78</v>
      </c>
      <c r="F261" s="5">
        <v>22</v>
      </c>
      <c r="G261" s="6">
        <v>11.78</v>
      </c>
      <c r="H261" s="5">
        <v>35</v>
      </c>
      <c r="I261" s="6">
        <v>18.68</v>
      </c>
      <c r="J261" s="5">
        <v>41</v>
      </c>
      <c r="K261" s="6">
        <v>22.34</v>
      </c>
      <c r="L261" s="5">
        <v>44</v>
      </c>
      <c r="M261" s="6">
        <v>27.22</v>
      </c>
      <c r="N261" s="5">
        <v>65</v>
      </c>
      <c r="O261" s="6">
        <v>34.44</v>
      </c>
      <c r="P261" s="5">
        <v>72</v>
      </c>
      <c r="Q261" s="6">
        <v>39.979999999999997</v>
      </c>
      <c r="R261" s="5">
        <v>69</v>
      </c>
      <c r="S261" s="6">
        <v>40.700000000000003</v>
      </c>
      <c r="T261" s="5">
        <v>76</v>
      </c>
      <c r="U261" s="6">
        <v>43.6</v>
      </c>
      <c r="V261" s="5">
        <v>82</v>
      </c>
      <c r="W261" s="6">
        <v>47.52</v>
      </c>
      <c r="X261" s="6">
        <f t="shared" si="8"/>
        <v>51.9</v>
      </c>
      <c r="Y261" s="6">
        <f t="shared" si="8"/>
        <v>29.3</v>
      </c>
    </row>
    <row r="262" spans="1:25" x14ac:dyDescent="0.25">
      <c r="A262" s="2" t="s">
        <v>467</v>
      </c>
      <c r="B262" s="2" t="s">
        <v>468</v>
      </c>
      <c r="C262" s="2" t="s">
        <v>482</v>
      </c>
      <c r="D262" s="5">
        <v>0</v>
      </c>
      <c r="E262" s="6">
        <v>0</v>
      </c>
      <c r="F262" s="5">
        <v>0</v>
      </c>
      <c r="G262" s="6">
        <v>0</v>
      </c>
      <c r="H262" s="5">
        <v>1</v>
      </c>
      <c r="I262" s="6">
        <v>1</v>
      </c>
      <c r="J262" s="5">
        <v>2</v>
      </c>
      <c r="K262" s="6">
        <v>1.28</v>
      </c>
      <c r="L262" s="5">
        <v>2</v>
      </c>
      <c r="M262" s="6">
        <v>1.28</v>
      </c>
      <c r="N262" s="5">
        <v>3</v>
      </c>
      <c r="O262" s="6">
        <v>1.64</v>
      </c>
      <c r="P262" s="5">
        <v>4</v>
      </c>
      <c r="Q262" s="6">
        <v>3.26</v>
      </c>
      <c r="R262" s="5">
        <v>6</v>
      </c>
      <c r="S262" s="6">
        <v>4.54</v>
      </c>
      <c r="T262" s="5">
        <v>6</v>
      </c>
      <c r="U262" s="6">
        <v>3.72</v>
      </c>
      <c r="V262" s="5">
        <v>5</v>
      </c>
      <c r="W262" s="6">
        <v>4.72</v>
      </c>
      <c r="X262" s="6">
        <f t="shared" ref="X262:Y330" si="9">ROUND((R262+P262+N262+L262+J262+H262+D262+F262+T262+V262)/10,2)</f>
        <v>2.9</v>
      </c>
      <c r="Y262" s="6">
        <f t="shared" si="9"/>
        <v>2.14</v>
      </c>
    </row>
    <row r="263" spans="1:25" x14ac:dyDescent="0.25">
      <c r="A263" s="2" t="s">
        <v>467</v>
      </c>
      <c r="B263" s="2" t="s">
        <v>468</v>
      </c>
      <c r="C263" s="2" t="s">
        <v>483</v>
      </c>
      <c r="D263" s="5">
        <v>1002</v>
      </c>
      <c r="E263" s="6">
        <v>407.9</v>
      </c>
      <c r="F263" s="5">
        <v>1166</v>
      </c>
      <c r="G263" s="6">
        <v>477.68</v>
      </c>
      <c r="H263" s="5">
        <v>1205</v>
      </c>
      <c r="I263" s="6">
        <v>500.9500000000001</v>
      </c>
      <c r="J263" s="5">
        <v>1225</v>
      </c>
      <c r="K263" s="6">
        <v>507.64</v>
      </c>
      <c r="L263" s="5">
        <v>1255</v>
      </c>
      <c r="M263" s="6">
        <v>522.42000000000007</v>
      </c>
      <c r="N263" s="5">
        <v>1291</v>
      </c>
      <c r="O263" s="6">
        <v>515.62</v>
      </c>
      <c r="P263" s="5">
        <v>1352</v>
      </c>
      <c r="Q263" s="6">
        <v>549.56000000000017</v>
      </c>
      <c r="R263" s="5">
        <v>1436</v>
      </c>
      <c r="S263" s="6">
        <v>557.54</v>
      </c>
      <c r="T263" s="5">
        <v>1378</v>
      </c>
      <c r="U263" s="6">
        <v>560.96</v>
      </c>
      <c r="V263" s="5">
        <v>1387</v>
      </c>
      <c r="W263" s="6">
        <v>563.03999999999985</v>
      </c>
      <c r="X263" s="6">
        <f t="shared" si="9"/>
        <v>1269.7</v>
      </c>
      <c r="Y263" s="6">
        <f t="shared" si="9"/>
        <v>516.33000000000004</v>
      </c>
    </row>
    <row r="264" spans="1:25" x14ac:dyDescent="0.25">
      <c r="A264" s="2" t="s">
        <v>467</v>
      </c>
      <c r="B264" s="2" t="s">
        <v>468</v>
      </c>
      <c r="C264" s="2" t="s">
        <v>484</v>
      </c>
      <c r="D264" s="5">
        <v>23</v>
      </c>
      <c r="E264" s="6">
        <v>16.34</v>
      </c>
      <c r="F264" s="5">
        <v>26</v>
      </c>
      <c r="G264" s="6">
        <v>19.32</v>
      </c>
      <c r="H264" s="5">
        <v>15</v>
      </c>
      <c r="I264" s="6">
        <v>13.3</v>
      </c>
      <c r="J264" s="5">
        <v>23</v>
      </c>
      <c r="K264" s="6">
        <v>17.260000000000002</v>
      </c>
      <c r="L264" s="5">
        <v>33</v>
      </c>
      <c r="M264" s="6">
        <v>23.76</v>
      </c>
      <c r="N264" s="5">
        <v>30</v>
      </c>
      <c r="O264" s="6">
        <v>22.68</v>
      </c>
      <c r="P264" s="5">
        <v>39</v>
      </c>
      <c r="Q264" s="6">
        <v>24.04</v>
      </c>
      <c r="R264" s="5">
        <v>34</v>
      </c>
      <c r="S264" s="6">
        <v>24.64</v>
      </c>
      <c r="T264" s="5">
        <v>56</v>
      </c>
      <c r="U264" s="6">
        <v>27.78</v>
      </c>
      <c r="V264" s="5">
        <v>34</v>
      </c>
      <c r="W264" s="6">
        <v>25.08</v>
      </c>
      <c r="X264" s="6">
        <f t="shared" si="9"/>
        <v>31.3</v>
      </c>
      <c r="Y264" s="6">
        <f t="shared" si="9"/>
        <v>21.42</v>
      </c>
    </row>
    <row r="265" spans="1:25" x14ac:dyDescent="0.25">
      <c r="A265" s="2" t="s">
        <v>467</v>
      </c>
      <c r="B265" s="2" t="s">
        <v>468</v>
      </c>
      <c r="C265" s="2" t="s">
        <v>485</v>
      </c>
      <c r="D265" s="5">
        <v>10</v>
      </c>
      <c r="E265" s="6">
        <v>10</v>
      </c>
      <c r="F265" s="5">
        <v>12</v>
      </c>
      <c r="G265" s="6">
        <v>12</v>
      </c>
      <c r="H265" s="5">
        <v>13</v>
      </c>
      <c r="I265" s="6">
        <v>13</v>
      </c>
      <c r="J265" s="5">
        <v>10</v>
      </c>
      <c r="K265" s="6">
        <v>10</v>
      </c>
      <c r="L265" s="5">
        <v>11</v>
      </c>
      <c r="M265" s="6">
        <v>11</v>
      </c>
      <c r="N265" s="5">
        <v>10</v>
      </c>
      <c r="O265" s="6">
        <v>10</v>
      </c>
      <c r="P265" s="5">
        <v>12</v>
      </c>
      <c r="Q265" s="6">
        <v>12</v>
      </c>
      <c r="R265" s="5">
        <v>11</v>
      </c>
      <c r="S265" s="6">
        <v>11</v>
      </c>
      <c r="T265" s="5">
        <v>10</v>
      </c>
      <c r="U265" s="6">
        <v>10</v>
      </c>
      <c r="V265" s="5">
        <v>9</v>
      </c>
      <c r="W265" s="6">
        <v>9</v>
      </c>
      <c r="X265" s="6">
        <f t="shared" si="9"/>
        <v>10.8</v>
      </c>
      <c r="Y265" s="6">
        <f t="shared" si="9"/>
        <v>10.8</v>
      </c>
    </row>
    <row r="266" spans="1:25" x14ac:dyDescent="0.25">
      <c r="A266" s="2" t="s">
        <v>467</v>
      </c>
      <c r="B266" s="2" t="s">
        <v>468</v>
      </c>
      <c r="C266" s="2" t="s">
        <v>486</v>
      </c>
      <c r="D266" s="5">
        <v>343</v>
      </c>
      <c r="E266" s="6">
        <v>321.06</v>
      </c>
      <c r="F266" s="5">
        <v>339</v>
      </c>
      <c r="G266" s="6">
        <v>318.46000000000004</v>
      </c>
      <c r="H266" s="5">
        <v>340</v>
      </c>
      <c r="I266" s="6">
        <v>319.45999999999998</v>
      </c>
      <c r="J266" s="5">
        <v>340</v>
      </c>
      <c r="K266" s="6">
        <v>319.45999999999998</v>
      </c>
      <c r="L266" s="5">
        <v>340</v>
      </c>
      <c r="M266" s="6">
        <v>319.45999999999998</v>
      </c>
      <c r="N266" s="5">
        <v>338</v>
      </c>
      <c r="O266" s="6">
        <v>321.89999999999992</v>
      </c>
      <c r="P266" s="5">
        <v>338</v>
      </c>
      <c r="Q266" s="6">
        <v>321.89999999999998</v>
      </c>
      <c r="R266" s="5">
        <v>342</v>
      </c>
      <c r="S266" s="6">
        <v>326.5</v>
      </c>
      <c r="T266" s="5">
        <v>342</v>
      </c>
      <c r="U266" s="6">
        <v>326.49999999999994</v>
      </c>
      <c r="V266" s="5">
        <v>341</v>
      </c>
      <c r="W266" s="6">
        <v>325.49999999999994</v>
      </c>
      <c r="X266" s="6">
        <f t="shared" si="9"/>
        <v>340.3</v>
      </c>
      <c r="Y266" s="6">
        <f t="shared" si="9"/>
        <v>322.02</v>
      </c>
    </row>
    <row r="267" spans="1:25" x14ac:dyDescent="0.25">
      <c r="A267" s="2" t="s">
        <v>467</v>
      </c>
      <c r="B267" s="2" t="s">
        <v>468</v>
      </c>
      <c r="C267" s="2" t="s">
        <v>487</v>
      </c>
      <c r="D267" s="5">
        <v>3</v>
      </c>
      <c r="E267" s="6">
        <v>1.44</v>
      </c>
      <c r="F267" s="5">
        <v>6</v>
      </c>
      <c r="G267" s="6">
        <v>2.66</v>
      </c>
      <c r="H267" s="5">
        <v>6</v>
      </c>
      <c r="I267" s="6">
        <v>2.88</v>
      </c>
      <c r="J267" s="5">
        <v>10</v>
      </c>
      <c r="K267" s="6">
        <v>4.5</v>
      </c>
      <c r="L267" s="5">
        <v>10</v>
      </c>
      <c r="M267" s="6">
        <v>4.67</v>
      </c>
      <c r="N267" s="5">
        <v>9</v>
      </c>
      <c r="O267" s="6">
        <v>3.83</v>
      </c>
      <c r="P267" s="5">
        <v>8</v>
      </c>
      <c r="Q267" s="6">
        <v>3.56</v>
      </c>
      <c r="R267" s="5">
        <v>10</v>
      </c>
      <c r="S267" s="6">
        <v>4.12</v>
      </c>
      <c r="T267" s="5">
        <v>11</v>
      </c>
      <c r="U267" s="6">
        <v>5.32</v>
      </c>
      <c r="V267" s="5">
        <v>8</v>
      </c>
      <c r="W267" s="6">
        <v>3.56</v>
      </c>
      <c r="X267" s="6">
        <f t="shared" si="9"/>
        <v>8.1</v>
      </c>
      <c r="Y267" s="6">
        <f t="shared" si="9"/>
        <v>3.65</v>
      </c>
    </row>
    <row r="268" spans="1:25" x14ac:dyDescent="0.25">
      <c r="A268" s="2" t="s">
        <v>684</v>
      </c>
      <c r="B268" s="2" t="s">
        <v>685</v>
      </c>
      <c r="C268" s="2" t="s">
        <v>465</v>
      </c>
      <c r="D268" s="5">
        <v>34</v>
      </c>
      <c r="E268" s="6">
        <v>32.510000000000005</v>
      </c>
      <c r="F268" s="5">
        <v>41</v>
      </c>
      <c r="G268" s="6">
        <v>38.909999999999997</v>
      </c>
      <c r="H268" s="5">
        <v>43</v>
      </c>
      <c r="I268" s="6">
        <v>40.590000000000003</v>
      </c>
      <c r="J268" s="5">
        <v>46</v>
      </c>
      <c r="K268" s="6">
        <v>42.42</v>
      </c>
      <c r="L268" s="5">
        <v>47</v>
      </c>
      <c r="M268" s="6">
        <v>43.08</v>
      </c>
      <c r="N268" s="5">
        <v>45</v>
      </c>
      <c r="O268" s="6">
        <v>42.97</v>
      </c>
      <c r="P268" s="5">
        <v>57</v>
      </c>
      <c r="Q268" s="6">
        <v>55.14</v>
      </c>
      <c r="R268" s="5">
        <v>60</v>
      </c>
      <c r="S268" s="6">
        <v>58.14</v>
      </c>
      <c r="T268" s="5">
        <v>61</v>
      </c>
      <c r="U268" s="6">
        <v>59.14</v>
      </c>
      <c r="V268" s="5">
        <v>49</v>
      </c>
      <c r="W268" s="6">
        <v>47.48</v>
      </c>
      <c r="X268" s="6">
        <f t="shared" si="9"/>
        <v>48.3</v>
      </c>
      <c r="Y268" s="6">
        <f t="shared" si="9"/>
        <v>46.04</v>
      </c>
    </row>
    <row r="269" spans="1:25" x14ac:dyDescent="0.25">
      <c r="A269" s="2" t="s">
        <v>684</v>
      </c>
      <c r="B269" s="2" t="s">
        <v>685</v>
      </c>
      <c r="C269" s="2" t="s">
        <v>466</v>
      </c>
      <c r="D269" s="5">
        <v>210</v>
      </c>
      <c r="E269" s="6">
        <v>187.56</v>
      </c>
      <c r="F269" s="5">
        <v>220</v>
      </c>
      <c r="G269" s="6">
        <v>196.81999999999996</v>
      </c>
      <c r="H269" s="5">
        <v>223</v>
      </c>
      <c r="I269" s="6">
        <v>197.4</v>
      </c>
      <c r="J269" s="5">
        <v>225</v>
      </c>
      <c r="K269" s="6">
        <v>197.37</v>
      </c>
      <c r="L269" s="5">
        <v>226</v>
      </c>
      <c r="M269" s="6">
        <v>198.15</v>
      </c>
      <c r="N269" s="5">
        <v>226</v>
      </c>
      <c r="O269" s="6">
        <v>196.75</v>
      </c>
      <c r="P269" s="5">
        <v>225</v>
      </c>
      <c r="Q269" s="6">
        <v>196.85999999999999</v>
      </c>
      <c r="R269" s="5">
        <v>218</v>
      </c>
      <c r="S269" s="6">
        <v>190.78</v>
      </c>
      <c r="T269" s="5">
        <v>221</v>
      </c>
      <c r="U269" s="6">
        <v>193.93</v>
      </c>
      <c r="V269" s="5">
        <v>221</v>
      </c>
      <c r="W269" s="6">
        <v>193.92999999999998</v>
      </c>
      <c r="X269" s="6">
        <f t="shared" si="9"/>
        <v>221.5</v>
      </c>
      <c r="Y269" s="6">
        <f t="shared" si="9"/>
        <v>194.96</v>
      </c>
    </row>
    <row r="270" spans="1:25" x14ac:dyDescent="0.25">
      <c r="A270" s="2" t="s">
        <v>93</v>
      </c>
      <c r="B270" s="2" t="s">
        <v>94</v>
      </c>
      <c r="C270" s="2" t="s">
        <v>95</v>
      </c>
      <c r="D270" s="5">
        <v>545</v>
      </c>
      <c r="E270" s="6">
        <v>545</v>
      </c>
      <c r="F270" s="5">
        <v>731</v>
      </c>
      <c r="G270" s="6">
        <v>731</v>
      </c>
      <c r="H270" s="5">
        <v>842</v>
      </c>
      <c r="I270" s="6">
        <v>842</v>
      </c>
      <c r="J270" s="5">
        <v>813</v>
      </c>
      <c r="K270" s="6">
        <v>812.84</v>
      </c>
      <c r="L270" s="5">
        <v>754</v>
      </c>
      <c r="M270" s="6">
        <v>753.84</v>
      </c>
      <c r="N270" s="5">
        <v>793</v>
      </c>
      <c r="O270" s="6">
        <v>792.34</v>
      </c>
      <c r="P270" s="5">
        <v>813</v>
      </c>
      <c r="Q270" s="6">
        <v>812.34</v>
      </c>
      <c r="R270" s="5">
        <v>813</v>
      </c>
      <c r="S270" s="6">
        <v>812.34</v>
      </c>
      <c r="T270" s="5">
        <v>771</v>
      </c>
      <c r="U270" s="6">
        <v>770.14</v>
      </c>
      <c r="V270" s="5">
        <v>758</v>
      </c>
      <c r="W270" s="6">
        <v>757.14</v>
      </c>
      <c r="X270" s="6">
        <f t="shared" si="9"/>
        <v>763.3</v>
      </c>
      <c r="Y270" s="6">
        <f t="shared" si="9"/>
        <v>762.9</v>
      </c>
    </row>
    <row r="271" spans="1:25" x14ac:dyDescent="0.25">
      <c r="A271" s="2" t="s">
        <v>686</v>
      </c>
      <c r="B271" s="2" t="s">
        <v>687</v>
      </c>
      <c r="C271" s="2" t="s">
        <v>459</v>
      </c>
      <c r="D271" s="5">
        <v>34</v>
      </c>
      <c r="E271" s="6">
        <v>27.53</v>
      </c>
      <c r="F271" s="5">
        <v>36</v>
      </c>
      <c r="G271" s="6">
        <v>32.200000000000003</v>
      </c>
      <c r="H271" s="5">
        <v>36</v>
      </c>
      <c r="I271" s="6">
        <v>29.68</v>
      </c>
      <c r="J271" s="5">
        <v>37</v>
      </c>
      <c r="K271" s="6">
        <v>29.68</v>
      </c>
      <c r="L271" s="5">
        <v>37</v>
      </c>
      <c r="M271" s="6">
        <v>28.68</v>
      </c>
      <c r="N271" s="5">
        <v>43</v>
      </c>
      <c r="O271" s="6">
        <v>36</v>
      </c>
      <c r="P271" s="5">
        <v>42</v>
      </c>
      <c r="Q271" s="6">
        <v>33.33</v>
      </c>
      <c r="R271" s="5">
        <v>42</v>
      </c>
      <c r="S271" s="6">
        <v>33.33</v>
      </c>
      <c r="T271" s="5">
        <v>43</v>
      </c>
      <c r="U271" s="6">
        <v>35</v>
      </c>
      <c r="V271" s="5">
        <v>43</v>
      </c>
      <c r="W271" s="6">
        <v>34.68</v>
      </c>
      <c r="X271" s="6">
        <f t="shared" si="9"/>
        <v>39.299999999999997</v>
      </c>
      <c r="Y271" s="6">
        <f t="shared" si="9"/>
        <v>32.01</v>
      </c>
    </row>
    <row r="272" spans="1:25" x14ac:dyDescent="0.25">
      <c r="A272" s="2" t="s">
        <v>686</v>
      </c>
      <c r="B272" s="2" t="s">
        <v>687</v>
      </c>
      <c r="C272" s="2" t="s">
        <v>460</v>
      </c>
      <c r="D272" s="5">
        <v>35</v>
      </c>
      <c r="E272" s="6">
        <v>27.45</v>
      </c>
      <c r="F272" s="5">
        <v>35</v>
      </c>
      <c r="G272" s="6">
        <v>28.1</v>
      </c>
      <c r="H272" s="5">
        <v>38</v>
      </c>
      <c r="I272" s="6">
        <v>29.2</v>
      </c>
      <c r="J272" s="5">
        <v>41</v>
      </c>
      <c r="K272" s="6">
        <v>28.35</v>
      </c>
      <c r="L272" s="5">
        <v>41</v>
      </c>
      <c r="M272" s="6">
        <v>28.35</v>
      </c>
      <c r="N272" s="5">
        <v>52</v>
      </c>
      <c r="O272" s="6">
        <v>40.479999999999997</v>
      </c>
      <c r="P272" s="5">
        <v>57</v>
      </c>
      <c r="Q272" s="6">
        <v>42.33</v>
      </c>
      <c r="R272" s="5">
        <v>55</v>
      </c>
      <c r="S272" s="6">
        <v>41.78</v>
      </c>
      <c r="T272" s="5">
        <v>54</v>
      </c>
      <c r="U272" s="6">
        <v>39.69</v>
      </c>
      <c r="V272" s="5">
        <v>53</v>
      </c>
      <c r="W272" s="6">
        <v>39.69</v>
      </c>
      <c r="X272" s="6">
        <f t="shared" si="9"/>
        <v>46.1</v>
      </c>
      <c r="Y272" s="6">
        <f t="shared" si="9"/>
        <v>34.54</v>
      </c>
    </row>
    <row r="273" spans="1:25" x14ac:dyDescent="0.25">
      <c r="A273" s="2" t="s">
        <v>254</v>
      </c>
      <c r="B273" s="2" t="s">
        <v>255</v>
      </c>
      <c r="C273" s="2" t="s">
        <v>215</v>
      </c>
      <c r="D273" s="5">
        <v>2</v>
      </c>
      <c r="E273" s="6">
        <v>2</v>
      </c>
      <c r="F273" s="5">
        <v>2</v>
      </c>
      <c r="G273" s="6">
        <v>2</v>
      </c>
      <c r="H273" s="5">
        <v>2</v>
      </c>
      <c r="I273" s="6">
        <v>2</v>
      </c>
      <c r="J273" s="5">
        <v>2</v>
      </c>
      <c r="K273" s="6">
        <v>2</v>
      </c>
      <c r="L273" s="5">
        <v>0</v>
      </c>
      <c r="M273" s="6">
        <v>0</v>
      </c>
      <c r="N273" s="5">
        <v>0</v>
      </c>
      <c r="O273" s="6">
        <v>0</v>
      </c>
      <c r="P273" s="5">
        <v>0</v>
      </c>
      <c r="Q273" s="6">
        <v>0</v>
      </c>
      <c r="R273" s="5">
        <v>0</v>
      </c>
      <c r="S273" s="6">
        <v>0</v>
      </c>
      <c r="T273" s="5">
        <v>0</v>
      </c>
      <c r="U273" s="6">
        <v>0</v>
      </c>
      <c r="V273" s="5">
        <v>0</v>
      </c>
      <c r="W273" s="6">
        <v>0</v>
      </c>
      <c r="X273" s="6">
        <f t="shared" si="9"/>
        <v>0.8</v>
      </c>
      <c r="Y273" s="6">
        <f t="shared" si="9"/>
        <v>0.8</v>
      </c>
    </row>
    <row r="274" spans="1:25" x14ac:dyDescent="0.25">
      <c r="A274" s="2" t="s">
        <v>252</v>
      </c>
      <c r="B274" s="2" t="s">
        <v>253</v>
      </c>
      <c r="C274" s="2" t="s">
        <v>215</v>
      </c>
      <c r="D274" s="5">
        <v>0</v>
      </c>
      <c r="E274" s="6">
        <v>0</v>
      </c>
      <c r="F274" s="5">
        <v>0</v>
      </c>
      <c r="G274" s="6">
        <v>0</v>
      </c>
      <c r="H274" s="5">
        <v>0</v>
      </c>
      <c r="I274" s="6">
        <v>0</v>
      </c>
      <c r="J274" s="5">
        <v>0</v>
      </c>
      <c r="K274" s="6">
        <v>0</v>
      </c>
      <c r="L274" s="5">
        <v>0</v>
      </c>
      <c r="M274" s="6">
        <v>0</v>
      </c>
      <c r="N274" s="5">
        <v>1</v>
      </c>
      <c r="O274" s="6">
        <v>1</v>
      </c>
      <c r="P274" s="5">
        <v>0</v>
      </c>
      <c r="Q274" s="6">
        <v>0</v>
      </c>
      <c r="R274" s="5">
        <v>0</v>
      </c>
      <c r="S274" s="6">
        <v>0</v>
      </c>
      <c r="T274" s="5">
        <v>0</v>
      </c>
      <c r="U274" s="6">
        <v>0</v>
      </c>
      <c r="V274" s="5">
        <v>0</v>
      </c>
      <c r="W274" s="6">
        <v>0</v>
      </c>
      <c r="X274" s="6">
        <f t="shared" si="9"/>
        <v>0.1</v>
      </c>
      <c r="Y274" s="6">
        <f t="shared" si="9"/>
        <v>0.1</v>
      </c>
    </row>
    <row r="275" spans="1:25" x14ac:dyDescent="0.25">
      <c r="A275" s="2" t="s">
        <v>376</v>
      </c>
      <c r="B275" s="2" t="s">
        <v>377</v>
      </c>
      <c r="C275" s="2" t="s">
        <v>378</v>
      </c>
      <c r="D275" s="5">
        <v>65</v>
      </c>
      <c r="E275" s="6">
        <v>59.8</v>
      </c>
      <c r="F275" s="5">
        <v>84</v>
      </c>
      <c r="G275" s="6">
        <v>74.77000000000001</v>
      </c>
      <c r="H275" s="5">
        <v>105</v>
      </c>
      <c r="I275" s="6">
        <v>94.830000000000013</v>
      </c>
      <c r="J275" s="5">
        <v>110</v>
      </c>
      <c r="K275" s="6">
        <v>97.83</v>
      </c>
      <c r="L275" s="5">
        <v>110</v>
      </c>
      <c r="M275" s="6">
        <v>99.2</v>
      </c>
      <c r="N275" s="5">
        <v>129</v>
      </c>
      <c r="O275" s="6">
        <v>116.24</v>
      </c>
      <c r="P275" s="5">
        <v>130</v>
      </c>
      <c r="Q275" s="6">
        <v>116.71000000000001</v>
      </c>
      <c r="R275" s="5">
        <v>143</v>
      </c>
      <c r="S275" s="6">
        <v>124.87</v>
      </c>
      <c r="T275" s="5">
        <v>136</v>
      </c>
      <c r="U275" s="6">
        <v>122.24000000000001</v>
      </c>
      <c r="V275" s="5">
        <v>130</v>
      </c>
      <c r="W275" s="6">
        <v>115.82000000000001</v>
      </c>
      <c r="X275" s="6">
        <f t="shared" si="9"/>
        <v>114.2</v>
      </c>
      <c r="Y275" s="6">
        <f t="shared" si="9"/>
        <v>102.23</v>
      </c>
    </row>
    <row r="276" spans="1:25" x14ac:dyDescent="0.25">
      <c r="A276" s="2" t="s">
        <v>631</v>
      </c>
      <c r="B276" s="2" t="s">
        <v>632</v>
      </c>
      <c r="C276" s="2" t="s">
        <v>608</v>
      </c>
      <c r="D276" s="5">
        <v>59</v>
      </c>
      <c r="E276" s="6">
        <v>59</v>
      </c>
      <c r="F276" s="5">
        <v>69</v>
      </c>
      <c r="G276" s="6">
        <v>69</v>
      </c>
      <c r="H276" s="5">
        <v>81</v>
      </c>
      <c r="I276" s="6">
        <v>80.599999999999994</v>
      </c>
      <c r="J276" s="5">
        <v>86</v>
      </c>
      <c r="K276" s="6">
        <v>85.4</v>
      </c>
      <c r="L276" s="5">
        <v>86</v>
      </c>
      <c r="M276" s="6">
        <v>84.26</v>
      </c>
      <c r="N276" s="5">
        <v>105</v>
      </c>
      <c r="O276" s="6">
        <v>102.86</v>
      </c>
      <c r="P276" s="5">
        <v>110</v>
      </c>
      <c r="Q276" s="6">
        <v>107.86</v>
      </c>
      <c r="R276" s="5">
        <v>89</v>
      </c>
      <c r="S276" s="6">
        <v>79.599999999999994</v>
      </c>
      <c r="T276" s="5">
        <v>93</v>
      </c>
      <c r="U276" s="6">
        <v>83.6</v>
      </c>
      <c r="V276" s="5">
        <v>93</v>
      </c>
      <c r="W276" s="6">
        <v>84</v>
      </c>
      <c r="X276" s="6">
        <f t="shared" si="9"/>
        <v>87.1</v>
      </c>
      <c r="Y276" s="6">
        <f t="shared" si="9"/>
        <v>83.62</v>
      </c>
    </row>
    <row r="277" spans="1:25" x14ac:dyDescent="0.25">
      <c r="A277" s="2" t="s">
        <v>370</v>
      </c>
      <c r="B277" s="2" t="s">
        <v>371</v>
      </c>
      <c r="C277" s="2" t="s">
        <v>372</v>
      </c>
      <c r="D277" s="5">
        <v>1125</v>
      </c>
      <c r="E277" s="6">
        <v>874.45</v>
      </c>
      <c r="F277" s="5">
        <v>1240</v>
      </c>
      <c r="G277" s="6">
        <v>909.5</v>
      </c>
      <c r="H277" s="5">
        <v>1358</v>
      </c>
      <c r="I277" s="6">
        <v>971.18</v>
      </c>
      <c r="J277" s="5">
        <v>1410</v>
      </c>
      <c r="K277" s="6">
        <v>995.46</v>
      </c>
      <c r="L277" s="5">
        <v>1423</v>
      </c>
      <c r="M277" s="6">
        <v>1025.3899999999999</v>
      </c>
      <c r="N277" s="5">
        <v>1476</v>
      </c>
      <c r="O277" s="6">
        <v>1047.5299999999997</v>
      </c>
      <c r="P277" s="5">
        <v>1608</v>
      </c>
      <c r="Q277" s="6">
        <v>1117.5</v>
      </c>
      <c r="R277" s="5">
        <v>1610</v>
      </c>
      <c r="S277" s="6">
        <v>1112.17</v>
      </c>
      <c r="T277" s="5">
        <v>1712</v>
      </c>
      <c r="U277" s="6">
        <v>1120.5900000000001</v>
      </c>
      <c r="V277" s="5">
        <v>1701</v>
      </c>
      <c r="W277" s="6">
        <v>1111.07</v>
      </c>
      <c r="X277" s="6">
        <f t="shared" si="9"/>
        <v>1466.3</v>
      </c>
      <c r="Y277" s="6">
        <f t="shared" si="9"/>
        <v>1028.48</v>
      </c>
    </row>
    <row r="278" spans="1:25" x14ac:dyDescent="0.25">
      <c r="A278" s="2" t="s">
        <v>609</v>
      </c>
      <c r="B278" s="2" t="s">
        <v>610</v>
      </c>
      <c r="C278" s="2" t="s">
        <v>520</v>
      </c>
      <c r="D278" s="5">
        <v>0</v>
      </c>
      <c r="E278" s="6">
        <v>0</v>
      </c>
      <c r="F278" s="5">
        <v>1</v>
      </c>
      <c r="G278" s="6">
        <v>1</v>
      </c>
      <c r="H278" s="5">
        <v>2</v>
      </c>
      <c r="I278" s="6">
        <v>2</v>
      </c>
      <c r="J278" s="5">
        <v>2</v>
      </c>
      <c r="K278" s="6">
        <v>2</v>
      </c>
      <c r="L278" s="5">
        <v>2</v>
      </c>
      <c r="M278" s="6">
        <v>2</v>
      </c>
      <c r="N278" s="5">
        <v>2</v>
      </c>
      <c r="O278" s="6">
        <v>2</v>
      </c>
      <c r="P278" s="5">
        <v>2</v>
      </c>
      <c r="Q278" s="6">
        <v>2</v>
      </c>
      <c r="R278" s="5">
        <v>2</v>
      </c>
      <c r="S278" s="6">
        <v>2</v>
      </c>
      <c r="T278" s="5">
        <v>2</v>
      </c>
      <c r="U278" s="6">
        <v>2</v>
      </c>
      <c r="V278" s="5">
        <v>2</v>
      </c>
      <c r="W278" s="6">
        <v>2</v>
      </c>
      <c r="X278" s="6">
        <f t="shared" si="9"/>
        <v>1.7</v>
      </c>
      <c r="Y278" s="6">
        <f t="shared" si="9"/>
        <v>1.7</v>
      </c>
    </row>
    <row r="279" spans="1:25" x14ac:dyDescent="0.25">
      <c r="A279" s="2" t="s">
        <v>609</v>
      </c>
      <c r="B279" s="2" t="s">
        <v>610</v>
      </c>
      <c r="C279" s="2" t="s">
        <v>611</v>
      </c>
      <c r="D279" s="5">
        <v>21</v>
      </c>
      <c r="E279" s="6">
        <v>5.61</v>
      </c>
      <c r="F279" s="5">
        <v>21</v>
      </c>
      <c r="G279" s="6">
        <v>5.61</v>
      </c>
      <c r="H279" s="5">
        <v>21</v>
      </c>
      <c r="I279" s="6">
        <v>5.61</v>
      </c>
      <c r="J279" s="5">
        <v>21</v>
      </c>
      <c r="K279" s="6">
        <v>5.61</v>
      </c>
      <c r="L279" s="5">
        <v>21</v>
      </c>
      <c r="M279" s="6">
        <v>5.61</v>
      </c>
      <c r="N279" s="5">
        <v>25</v>
      </c>
      <c r="O279" s="6">
        <v>9.48</v>
      </c>
      <c r="P279" s="5">
        <v>25</v>
      </c>
      <c r="Q279" s="6">
        <v>9.48</v>
      </c>
      <c r="R279" s="5">
        <v>23</v>
      </c>
      <c r="S279" s="6">
        <v>9.14</v>
      </c>
      <c r="T279" s="5">
        <v>17</v>
      </c>
      <c r="U279" s="6">
        <v>7.4399999999999995</v>
      </c>
      <c r="V279" s="5">
        <v>17</v>
      </c>
      <c r="W279" s="6">
        <v>7.4399999999999995</v>
      </c>
      <c r="X279" s="6">
        <f t="shared" si="9"/>
        <v>21.2</v>
      </c>
      <c r="Y279" s="6">
        <f t="shared" si="9"/>
        <v>7.1</v>
      </c>
    </row>
    <row r="280" spans="1:25" x14ac:dyDescent="0.25">
      <c r="A280" s="2" t="s">
        <v>688</v>
      </c>
      <c r="B280" s="2" t="s">
        <v>689</v>
      </c>
      <c r="C280" s="2" t="s">
        <v>577</v>
      </c>
      <c r="D280" s="5">
        <v>8</v>
      </c>
      <c r="E280" s="6">
        <v>7.5</v>
      </c>
      <c r="F280" s="5">
        <v>10</v>
      </c>
      <c r="G280" s="6">
        <v>9.5</v>
      </c>
      <c r="H280" s="5">
        <v>12</v>
      </c>
      <c r="I280" s="6">
        <v>11.5</v>
      </c>
      <c r="J280" s="5">
        <v>15</v>
      </c>
      <c r="K280" s="6">
        <v>14.5</v>
      </c>
      <c r="L280" s="5">
        <v>15</v>
      </c>
      <c r="M280" s="6">
        <v>14.1</v>
      </c>
      <c r="N280" s="5">
        <v>21</v>
      </c>
      <c r="O280" s="6">
        <v>20</v>
      </c>
      <c r="P280" s="5">
        <v>24</v>
      </c>
      <c r="Q280" s="6">
        <v>23.1</v>
      </c>
      <c r="R280" s="5">
        <v>26</v>
      </c>
      <c r="S280" s="6">
        <v>25.5</v>
      </c>
      <c r="T280" s="5">
        <v>27</v>
      </c>
      <c r="U280" s="6">
        <v>26.5</v>
      </c>
      <c r="V280" s="5">
        <v>27</v>
      </c>
      <c r="W280" s="6">
        <v>26.5</v>
      </c>
      <c r="X280" s="6">
        <f t="shared" si="9"/>
        <v>18.5</v>
      </c>
      <c r="Y280" s="6">
        <f t="shared" si="9"/>
        <v>17.87</v>
      </c>
    </row>
    <row r="281" spans="1:25" x14ac:dyDescent="0.25">
      <c r="A281" s="2" t="s">
        <v>296</v>
      </c>
      <c r="B281" s="2" t="s">
        <v>297</v>
      </c>
      <c r="C281" s="2" t="s">
        <v>298</v>
      </c>
      <c r="D281" s="5">
        <v>38</v>
      </c>
      <c r="E281" s="6">
        <v>38</v>
      </c>
      <c r="F281" s="5">
        <v>39</v>
      </c>
      <c r="G281" s="6">
        <v>39</v>
      </c>
      <c r="H281" s="5">
        <v>45</v>
      </c>
      <c r="I281" s="6">
        <v>45</v>
      </c>
      <c r="J281" s="5">
        <v>47</v>
      </c>
      <c r="K281" s="6">
        <v>47</v>
      </c>
      <c r="L281" s="5">
        <v>47</v>
      </c>
      <c r="M281" s="6">
        <v>47</v>
      </c>
      <c r="N281" s="5">
        <v>46</v>
      </c>
      <c r="O281" s="6">
        <v>46</v>
      </c>
      <c r="P281" s="5">
        <v>46</v>
      </c>
      <c r="Q281" s="6">
        <v>46</v>
      </c>
      <c r="R281" s="5">
        <v>44</v>
      </c>
      <c r="S281" s="6">
        <v>44</v>
      </c>
      <c r="T281" s="5">
        <v>42</v>
      </c>
      <c r="U281" s="6">
        <v>42</v>
      </c>
      <c r="V281" s="5">
        <v>42</v>
      </c>
      <c r="W281" s="6">
        <v>42</v>
      </c>
      <c r="X281" s="6">
        <f t="shared" si="9"/>
        <v>43.6</v>
      </c>
      <c r="Y281" s="6">
        <f t="shared" si="9"/>
        <v>43.6</v>
      </c>
    </row>
    <row r="282" spans="1:25" x14ac:dyDescent="0.25">
      <c r="A282" s="2" t="s">
        <v>344</v>
      </c>
      <c r="B282" s="2" t="s">
        <v>345</v>
      </c>
      <c r="C282" s="2" t="s">
        <v>346</v>
      </c>
      <c r="D282" s="5">
        <v>104</v>
      </c>
      <c r="E282" s="6">
        <v>99.18</v>
      </c>
      <c r="F282" s="5">
        <v>106</v>
      </c>
      <c r="G282" s="6">
        <v>103.57</v>
      </c>
      <c r="H282" s="5">
        <v>107</v>
      </c>
      <c r="I282" s="6">
        <v>104.06</v>
      </c>
      <c r="J282" s="5">
        <v>106</v>
      </c>
      <c r="K282" s="6">
        <v>104.32</v>
      </c>
      <c r="L282" s="5">
        <v>105</v>
      </c>
      <c r="M282" s="6">
        <v>102.46</v>
      </c>
      <c r="N282" s="5">
        <v>110</v>
      </c>
      <c r="O282" s="6">
        <v>107.9</v>
      </c>
      <c r="P282" s="5">
        <v>111</v>
      </c>
      <c r="Q282" s="6">
        <v>108.76</v>
      </c>
      <c r="R282" s="5">
        <v>112</v>
      </c>
      <c r="S282" s="6">
        <v>109.76</v>
      </c>
      <c r="T282" s="5">
        <v>113</v>
      </c>
      <c r="U282" s="6">
        <v>110.76</v>
      </c>
      <c r="V282" s="5">
        <v>110</v>
      </c>
      <c r="W282" s="6">
        <v>107.76</v>
      </c>
      <c r="X282" s="6">
        <f t="shared" si="9"/>
        <v>108.4</v>
      </c>
      <c r="Y282" s="6">
        <f t="shared" si="9"/>
        <v>105.85</v>
      </c>
    </row>
    <row r="283" spans="1:25" x14ac:dyDescent="0.25">
      <c r="A283" s="2" t="s">
        <v>633</v>
      </c>
      <c r="B283" s="2" t="s">
        <v>634</v>
      </c>
      <c r="C283" s="2" t="s">
        <v>635</v>
      </c>
      <c r="D283" s="5">
        <v>63</v>
      </c>
      <c r="E283" s="6">
        <v>63</v>
      </c>
      <c r="F283" s="5">
        <v>97</v>
      </c>
      <c r="G283" s="6">
        <v>97</v>
      </c>
      <c r="H283" s="5">
        <v>101</v>
      </c>
      <c r="I283" s="6">
        <v>91.75</v>
      </c>
      <c r="J283" s="5">
        <v>121</v>
      </c>
      <c r="K283" s="6">
        <v>116.25</v>
      </c>
      <c r="L283" s="5">
        <v>124</v>
      </c>
      <c r="M283" s="6">
        <v>119.49</v>
      </c>
      <c r="N283" s="5">
        <v>121</v>
      </c>
      <c r="O283" s="6">
        <v>116</v>
      </c>
      <c r="P283" s="5">
        <v>118</v>
      </c>
      <c r="Q283" s="6">
        <v>113.25</v>
      </c>
      <c r="R283" s="5">
        <v>121</v>
      </c>
      <c r="S283" s="6">
        <v>115.5</v>
      </c>
      <c r="T283" s="5">
        <v>121</v>
      </c>
      <c r="U283" s="6">
        <v>114.25</v>
      </c>
      <c r="V283" s="5">
        <v>114</v>
      </c>
      <c r="W283" s="6">
        <v>107.75</v>
      </c>
      <c r="X283" s="6">
        <f t="shared" si="9"/>
        <v>110.1</v>
      </c>
      <c r="Y283" s="6">
        <f t="shared" si="9"/>
        <v>105.42</v>
      </c>
    </row>
    <row r="284" spans="1:25" x14ac:dyDescent="0.25">
      <c r="A284" s="2" t="s">
        <v>633</v>
      </c>
      <c r="B284" s="2" t="s">
        <v>634</v>
      </c>
      <c r="C284" s="2" t="s">
        <v>537</v>
      </c>
      <c r="D284" s="5">
        <v>569</v>
      </c>
      <c r="E284" s="6">
        <v>385.13999999999993</v>
      </c>
      <c r="F284" s="5">
        <v>900</v>
      </c>
      <c r="G284" s="6">
        <v>554.51999999999975</v>
      </c>
      <c r="H284" s="5">
        <v>959</v>
      </c>
      <c r="I284" s="6">
        <v>579.81999999999982</v>
      </c>
      <c r="J284" s="5">
        <v>923</v>
      </c>
      <c r="K284" s="6">
        <v>567.28999999999974</v>
      </c>
      <c r="L284" s="5">
        <v>915</v>
      </c>
      <c r="M284" s="6">
        <v>561.48</v>
      </c>
      <c r="N284" s="5">
        <v>906</v>
      </c>
      <c r="O284" s="6">
        <v>565.29</v>
      </c>
      <c r="P284" s="5">
        <v>920</v>
      </c>
      <c r="Q284" s="6">
        <v>563.49</v>
      </c>
      <c r="R284" s="5">
        <v>917</v>
      </c>
      <c r="S284" s="6">
        <v>563.91999999999996</v>
      </c>
      <c r="T284" s="5">
        <v>911</v>
      </c>
      <c r="U284" s="6">
        <v>566.51999999999987</v>
      </c>
      <c r="V284" s="5">
        <v>870</v>
      </c>
      <c r="W284" s="6">
        <v>559.42000000000019</v>
      </c>
      <c r="X284" s="6">
        <f t="shared" si="9"/>
        <v>879</v>
      </c>
      <c r="Y284" s="6">
        <f t="shared" si="9"/>
        <v>546.69000000000005</v>
      </c>
    </row>
    <row r="285" spans="1:25" x14ac:dyDescent="0.25">
      <c r="A285" s="2" t="s">
        <v>584</v>
      </c>
      <c r="B285" s="2" t="s">
        <v>585</v>
      </c>
      <c r="C285" s="2" t="s">
        <v>586</v>
      </c>
      <c r="D285" s="5">
        <v>14</v>
      </c>
      <c r="E285" s="6">
        <v>12.5</v>
      </c>
      <c r="F285" s="5">
        <v>16</v>
      </c>
      <c r="G285" s="6">
        <v>14</v>
      </c>
      <c r="H285" s="5">
        <v>16</v>
      </c>
      <c r="I285" s="6">
        <v>14</v>
      </c>
      <c r="J285" s="5">
        <v>16</v>
      </c>
      <c r="K285" s="6">
        <v>14</v>
      </c>
      <c r="L285" s="5">
        <v>16</v>
      </c>
      <c r="M285" s="6">
        <v>14</v>
      </c>
      <c r="N285" s="5">
        <v>16</v>
      </c>
      <c r="O285" s="6">
        <v>14</v>
      </c>
      <c r="P285" s="5">
        <v>56</v>
      </c>
      <c r="Q285" s="6">
        <v>44.5</v>
      </c>
      <c r="R285" s="5">
        <v>16</v>
      </c>
      <c r="S285" s="6">
        <v>14.5</v>
      </c>
      <c r="T285" s="5">
        <v>16</v>
      </c>
      <c r="U285" s="6">
        <v>14</v>
      </c>
      <c r="V285" s="5">
        <v>16</v>
      </c>
      <c r="W285" s="6">
        <v>14</v>
      </c>
      <c r="X285" s="6">
        <f t="shared" si="9"/>
        <v>19.8</v>
      </c>
      <c r="Y285" s="6">
        <f t="shared" si="9"/>
        <v>16.95</v>
      </c>
    </row>
    <row r="286" spans="1:25" x14ac:dyDescent="0.25">
      <c r="A286" s="2" t="s">
        <v>584</v>
      </c>
      <c r="B286" s="2" t="s">
        <v>585</v>
      </c>
      <c r="C286" s="2" t="s">
        <v>587</v>
      </c>
      <c r="D286" s="5">
        <v>25</v>
      </c>
      <c r="E286" s="6">
        <v>20.6</v>
      </c>
      <c r="F286" s="5">
        <v>39</v>
      </c>
      <c r="G286" s="6">
        <v>31.500000000000004</v>
      </c>
      <c r="H286" s="5">
        <v>36</v>
      </c>
      <c r="I286" s="6">
        <v>29.6</v>
      </c>
      <c r="J286" s="5">
        <v>35</v>
      </c>
      <c r="K286" s="6">
        <v>28.4</v>
      </c>
      <c r="L286" s="5">
        <v>36</v>
      </c>
      <c r="M286" s="6">
        <v>29.200000000000006</v>
      </c>
      <c r="N286" s="5">
        <v>42</v>
      </c>
      <c r="O286" s="6">
        <v>33.6</v>
      </c>
      <c r="P286" s="5">
        <v>48</v>
      </c>
      <c r="Q286" s="6">
        <v>37.900000000000006</v>
      </c>
      <c r="R286" s="5">
        <v>35</v>
      </c>
      <c r="S286" s="6">
        <v>27.500000000000007</v>
      </c>
      <c r="T286" s="5">
        <v>51</v>
      </c>
      <c r="U286" s="6">
        <v>36.300000000000004</v>
      </c>
      <c r="V286" s="5">
        <v>101</v>
      </c>
      <c r="W286" s="6">
        <v>64.5</v>
      </c>
      <c r="X286" s="6">
        <f t="shared" si="9"/>
        <v>44.8</v>
      </c>
      <c r="Y286" s="6">
        <f t="shared" si="9"/>
        <v>33.909999999999997</v>
      </c>
    </row>
    <row r="287" spans="1:25" x14ac:dyDescent="0.25">
      <c r="A287" s="2" t="s">
        <v>690</v>
      </c>
      <c r="B287" s="2" t="s">
        <v>691</v>
      </c>
      <c r="C287" s="2" t="s">
        <v>100</v>
      </c>
      <c r="D287" s="5">
        <v>0</v>
      </c>
      <c r="E287" s="6">
        <v>0</v>
      </c>
      <c r="F287" s="5">
        <v>0</v>
      </c>
      <c r="G287" s="6">
        <v>0</v>
      </c>
      <c r="H287" s="5">
        <v>24</v>
      </c>
      <c r="I287" s="6">
        <v>16.22</v>
      </c>
      <c r="J287" s="5">
        <v>20</v>
      </c>
      <c r="K287" s="6">
        <v>13.139999999999999</v>
      </c>
      <c r="L287" s="5">
        <v>26</v>
      </c>
      <c r="M287" s="6">
        <v>15.940000000000001</v>
      </c>
      <c r="N287" s="5">
        <v>32</v>
      </c>
      <c r="O287" s="6">
        <v>13.719999999999999</v>
      </c>
      <c r="P287" s="5">
        <v>33</v>
      </c>
      <c r="Q287" s="6">
        <v>13.580000000000002</v>
      </c>
      <c r="R287" s="5">
        <v>34</v>
      </c>
      <c r="S287" s="6">
        <v>14.139999999999999</v>
      </c>
      <c r="T287" s="5">
        <v>35</v>
      </c>
      <c r="U287" s="6">
        <v>14.979999999999999</v>
      </c>
      <c r="V287" s="5">
        <v>35</v>
      </c>
      <c r="W287" s="6">
        <v>14.839999999999998</v>
      </c>
      <c r="X287" s="6">
        <f t="shared" si="9"/>
        <v>23.9</v>
      </c>
      <c r="Y287" s="6">
        <f t="shared" si="9"/>
        <v>11.66</v>
      </c>
    </row>
    <row r="288" spans="1:25" x14ac:dyDescent="0.25">
      <c r="A288" s="2" t="s">
        <v>564</v>
      </c>
      <c r="B288" s="2" t="s">
        <v>565</v>
      </c>
      <c r="C288" s="2" t="s">
        <v>566</v>
      </c>
      <c r="D288" s="5">
        <v>118</v>
      </c>
      <c r="E288" s="6">
        <v>113.88000000000001</v>
      </c>
      <c r="F288" s="5">
        <v>130</v>
      </c>
      <c r="G288" s="6">
        <v>125.32</v>
      </c>
      <c r="H288" s="5">
        <v>123</v>
      </c>
      <c r="I288" s="6">
        <v>116.98</v>
      </c>
      <c r="J288" s="5">
        <v>143</v>
      </c>
      <c r="K288" s="6">
        <v>133.10999999999999</v>
      </c>
      <c r="L288" s="5">
        <v>138</v>
      </c>
      <c r="M288" s="6">
        <v>129.75999999999996</v>
      </c>
      <c r="N288" s="5">
        <v>150</v>
      </c>
      <c r="O288" s="6">
        <v>142.11000000000001</v>
      </c>
      <c r="P288" s="5">
        <v>150</v>
      </c>
      <c r="Q288" s="6">
        <v>136.81</v>
      </c>
      <c r="R288" s="5">
        <v>146</v>
      </c>
      <c r="S288" s="6">
        <v>136.01000000000002</v>
      </c>
      <c r="T288" s="5">
        <v>148</v>
      </c>
      <c r="U288" s="6">
        <v>134.02000000000001</v>
      </c>
      <c r="V288" s="5">
        <v>147</v>
      </c>
      <c r="W288" s="6">
        <v>128.99</v>
      </c>
      <c r="X288" s="6">
        <f t="shared" si="9"/>
        <v>139.30000000000001</v>
      </c>
      <c r="Y288" s="6">
        <f t="shared" si="9"/>
        <v>129.69999999999999</v>
      </c>
    </row>
    <row r="289" spans="1:25" x14ac:dyDescent="0.25">
      <c r="A289" s="2" t="s">
        <v>564</v>
      </c>
      <c r="B289" s="2" t="s">
        <v>565</v>
      </c>
      <c r="C289" s="2" t="s">
        <v>567</v>
      </c>
      <c r="D289" s="5">
        <v>54</v>
      </c>
      <c r="E289" s="6">
        <v>54</v>
      </c>
      <c r="F289" s="5">
        <v>61</v>
      </c>
      <c r="G289" s="6">
        <v>61</v>
      </c>
      <c r="H289" s="5">
        <v>68</v>
      </c>
      <c r="I289" s="6">
        <v>68</v>
      </c>
      <c r="J289" s="5">
        <v>70</v>
      </c>
      <c r="K289" s="6">
        <v>69.2</v>
      </c>
      <c r="L289" s="5">
        <v>74</v>
      </c>
      <c r="M289" s="6">
        <v>71.599999999999994</v>
      </c>
      <c r="N289" s="5">
        <v>74</v>
      </c>
      <c r="O289" s="6">
        <v>70</v>
      </c>
      <c r="P289" s="5">
        <v>75</v>
      </c>
      <c r="Q289" s="6">
        <v>71</v>
      </c>
      <c r="R289" s="5">
        <v>75</v>
      </c>
      <c r="S289" s="6">
        <v>71</v>
      </c>
      <c r="T289" s="5">
        <v>76</v>
      </c>
      <c r="U289" s="6">
        <v>72.599999999999994</v>
      </c>
      <c r="V289" s="5">
        <v>76</v>
      </c>
      <c r="W289" s="6">
        <v>72.599999999999994</v>
      </c>
      <c r="X289" s="6">
        <f t="shared" si="9"/>
        <v>70.3</v>
      </c>
      <c r="Y289" s="6">
        <f t="shared" si="9"/>
        <v>68.099999999999994</v>
      </c>
    </row>
    <row r="290" spans="1:25" x14ac:dyDescent="0.25">
      <c r="A290" s="2" t="s">
        <v>373</v>
      </c>
      <c r="B290" s="2" t="s">
        <v>374</v>
      </c>
      <c r="C290" s="2" t="s">
        <v>375</v>
      </c>
      <c r="D290" s="5">
        <v>5</v>
      </c>
      <c r="E290" s="6">
        <v>5</v>
      </c>
      <c r="F290" s="5">
        <v>4</v>
      </c>
      <c r="G290" s="6">
        <v>4</v>
      </c>
      <c r="H290" s="5">
        <v>6</v>
      </c>
      <c r="I290" s="6">
        <v>6</v>
      </c>
      <c r="J290" s="5">
        <v>11</v>
      </c>
      <c r="K290" s="6">
        <v>11</v>
      </c>
      <c r="L290" s="5">
        <v>13</v>
      </c>
      <c r="M290" s="6">
        <v>13</v>
      </c>
      <c r="N290" s="5">
        <v>12</v>
      </c>
      <c r="O290" s="6">
        <v>12</v>
      </c>
      <c r="P290" s="5">
        <v>12</v>
      </c>
      <c r="Q290" s="6">
        <v>12</v>
      </c>
      <c r="R290" s="5">
        <v>12</v>
      </c>
      <c r="S290" s="6">
        <v>12</v>
      </c>
      <c r="T290" s="5">
        <v>15</v>
      </c>
      <c r="U290" s="6">
        <v>15</v>
      </c>
      <c r="V290" s="5">
        <v>13</v>
      </c>
      <c r="W290" s="6">
        <v>13</v>
      </c>
      <c r="X290" s="6">
        <f t="shared" si="9"/>
        <v>10.3</v>
      </c>
      <c r="Y290" s="6">
        <f t="shared" si="9"/>
        <v>10.3</v>
      </c>
    </row>
    <row r="291" spans="1:25" x14ac:dyDescent="0.25">
      <c r="A291" s="2" t="s">
        <v>541</v>
      </c>
      <c r="B291" s="2" t="s">
        <v>542</v>
      </c>
      <c r="C291" s="2" t="s">
        <v>543</v>
      </c>
      <c r="D291" s="5">
        <v>852</v>
      </c>
      <c r="E291" s="6">
        <v>787.82000000000039</v>
      </c>
      <c r="F291" s="5">
        <v>870</v>
      </c>
      <c r="G291" s="6">
        <v>803.94000000000017</v>
      </c>
      <c r="H291" s="5">
        <v>889</v>
      </c>
      <c r="I291" s="6">
        <v>819.70000000000027</v>
      </c>
      <c r="J291" s="5">
        <v>890</v>
      </c>
      <c r="K291" s="6">
        <v>819.75</v>
      </c>
      <c r="L291" s="5">
        <v>886</v>
      </c>
      <c r="M291" s="6">
        <v>814.21000000000015</v>
      </c>
      <c r="N291" s="5">
        <v>894</v>
      </c>
      <c r="O291" s="6">
        <v>824.10000000000014</v>
      </c>
      <c r="P291" s="5">
        <v>911</v>
      </c>
      <c r="Q291" s="6">
        <v>840.73999999999967</v>
      </c>
      <c r="R291" s="5">
        <v>908</v>
      </c>
      <c r="S291" s="6">
        <v>837.63</v>
      </c>
      <c r="T291" s="5">
        <v>891</v>
      </c>
      <c r="U291" s="6">
        <v>820.56</v>
      </c>
      <c r="V291" s="5">
        <v>882</v>
      </c>
      <c r="W291" s="6">
        <v>812.34</v>
      </c>
      <c r="X291" s="6">
        <f t="shared" si="9"/>
        <v>887.3</v>
      </c>
      <c r="Y291" s="6">
        <f t="shared" si="9"/>
        <v>818.08</v>
      </c>
    </row>
    <row r="292" spans="1:25" x14ac:dyDescent="0.25">
      <c r="A292" s="2" t="s">
        <v>692</v>
      </c>
      <c r="B292" s="2" t="s">
        <v>693</v>
      </c>
      <c r="C292" s="2" t="s">
        <v>61</v>
      </c>
      <c r="D292" s="5">
        <v>160</v>
      </c>
      <c r="E292" s="6">
        <v>158</v>
      </c>
      <c r="F292" s="5">
        <v>164</v>
      </c>
      <c r="G292" s="6">
        <v>161.5</v>
      </c>
      <c r="H292" s="5">
        <v>165</v>
      </c>
      <c r="I292" s="6">
        <v>163.6</v>
      </c>
      <c r="J292" s="5">
        <v>169</v>
      </c>
      <c r="K292" s="6">
        <v>167.3</v>
      </c>
      <c r="L292" s="5">
        <v>169</v>
      </c>
      <c r="M292" s="6">
        <v>167.3</v>
      </c>
      <c r="N292" s="5">
        <v>166</v>
      </c>
      <c r="O292" s="6">
        <v>164.1</v>
      </c>
      <c r="P292" s="5">
        <v>165</v>
      </c>
      <c r="Q292" s="6">
        <v>162.6</v>
      </c>
      <c r="R292" s="5">
        <v>165</v>
      </c>
      <c r="S292" s="6">
        <v>162.6</v>
      </c>
      <c r="T292" s="5">
        <v>161</v>
      </c>
      <c r="U292" s="6">
        <v>158.60000000000002</v>
      </c>
      <c r="V292" s="5">
        <v>159</v>
      </c>
      <c r="W292" s="6">
        <v>156.80000000000001</v>
      </c>
      <c r="X292" s="6">
        <f t="shared" si="9"/>
        <v>164.3</v>
      </c>
      <c r="Y292" s="6">
        <f t="shared" si="9"/>
        <v>162.24</v>
      </c>
    </row>
    <row r="293" spans="1:25" x14ac:dyDescent="0.25">
      <c r="A293" s="2" t="s">
        <v>692</v>
      </c>
      <c r="B293" s="2" t="s">
        <v>693</v>
      </c>
      <c r="C293" s="2" t="s">
        <v>62</v>
      </c>
      <c r="D293" s="5">
        <v>69</v>
      </c>
      <c r="E293" s="6">
        <v>64</v>
      </c>
      <c r="F293" s="5">
        <v>76</v>
      </c>
      <c r="G293" s="6">
        <v>71</v>
      </c>
      <c r="H293" s="5">
        <v>87</v>
      </c>
      <c r="I293" s="6">
        <v>83</v>
      </c>
      <c r="J293" s="5">
        <v>91</v>
      </c>
      <c r="K293" s="6">
        <v>88</v>
      </c>
      <c r="L293" s="5">
        <v>97</v>
      </c>
      <c r="M293" s="6">
        <v>94</v>
      </c>
      <c r="N293" s="5">
        <v>98</v>
      </c>
      <c r="O293" s="6">
        <v>94.71</v>
      </c>
      <c r="P293" s="5">
        <v>105</v>
      </c>
      <c r="Q293" s="6">
        <v>101.71</v>
      </c>
      <c r="R293" s="5">
        <v>113</v>
      </c>
      <c r="S293" s="6">
        <v>109.21</v>
      </c>
      <c r="T293" s="5">
        <v>118</v>
      </c>
      <c r="U293" s="6">
        <v>114.71</v>
      </c>
      <c r="V293" s="5">
        <v>119</v>
      </c>
      <c r="W293" s="6">
        <v>117</v>
      </c>
      <c r="X293" s="6">
        <f t="shared" si="9"/>
        <v>97.3</v>
      </c>
      <c r="Y293" s="6">
        <f t="shared" si="9"/>
        <v>93.73</v>
      </c>
    </row>
    <row r="294" spans="1:25" x14ac:dyDescent="0.25">
      <c r="A294" s="2" t="s">
        <v>692</v>
      </c>
      <c r="B294" s="2" t="s">
        <v>693</v>
      </c>
      <c r="C294" s="2" t="s">
        <v>63</v>
      </c>
      <c r="D294" s="5">
        <v>359</v>
      </c>
      <c r="E294" s="6">
        <v>353.49</v>
      </c>
      <c r="F294" s="5">
        <v>375</v>
      </c>
      <c r="G294" s="6">
        <v>370.97</v>
      </c>
      <c r="H294" s="5">
        <v>416</v>
      </c>
      <c r="I294" s="6">
        <v>413.11</v>
      </c>
      <c r="J294" s="5">
        <v>449</v>
      </c>
      <c r="K294" s="6">
        <v>446.83</v>
      </c>
      <c r="L294" s="5">
        <v>443</v>
      </c>
      <c r="M294" s="6">
        <v>440.27</v>
      </c>
      <c r="N294" s="5">
        <v>476</v>
      </c>
      <c r="O294" s="6">
        <v>471.79999999999995</v>
      </c>
      <c r="P294" s="5">
        <v>498</v>
      </c>
      <c r="Q294" s="6">
        <v>494.16999999999996</v>
      </c>
      <c r="R294" s="5">
        <v>541</v>
      </c>
      <c r="S294" s="6">
        <v>537.61000000000013</v>
      </c>
      <c r="T294" s="5">
        <v>542</v>
      </c>
      <c r="U294" s="6">
        <v>537.61</v>
      </c>
      <c r="V294" s="5">
        <v>493</v>
      </c>
      <c r="W294" s="6">
        <v>488.41999999999996</v>
      </c>
      <c r="X294" s="6">
        <f t="shared" si="9"/>
        <v>459.2</v>
      </c>
      <c r="Y294" s="6">
        <f t="shared" si="9"/>
        <v>455.43</v>
      </c>
    </row>
    <row r="295" spans="1:25" x14ac:dyDescent="0.25">
      <c r="A295" s="2" t="s">
        <v>204</v>
      </c>
      <c r="B295" s="2" t="s">
        <v>205</v>
      </c>
      <c r="C295" s="2" t="s">
        <v>206</v>
      </c>
      <c r="D295" s="5">
        <v>70</v>
      </c>
      <c r="E295" s="6">
        <v>63.7</v>
      </c>
      <c r="F295" s="5">
        <v>70</v>
      </c>
      <c r="G295" s="6">
        <v>63.86</v>
      </c>
      <c r="H295" s="5">
        <v>75</v>
      </c>
      <c r="I295" s="6">
        <v>68.430000000000007</v>
      </c>
      <c r="J295" s="5">
        <v>77</v>
      </c>
      <c r="K295" s="6">
        <v>70.33</v>
      </c>
      <c r="L295" s="5">
        <v>77</v>
      </c>
      <c r="M295" s="6">
        <v>70.28</v>
      </c>
      <c r="N295" s="5">
        <v>82</v>
      </c>
      <c r="O295" s="6">
        <v>73.819999999999993</v>
      </c>
      <c r="P295" s="5">
        <v>84</v>
      </c>
      <c r="Q295" s="6">
        <v>75.5</v>
      </c>
      <c r="R295" s="5">
        <v>83</v>
      </c>
      <c r="S295" s="6">
        <v>75.7</v>
      </c>
      <c r="T295" s="5">
        <v>85</v>
      </c>
      <c r="U295" s="6">
        <v>77.7</v>
      </c>
      <c r="V295" s="5">
        <v>86</v>
      </c>
      <c r="W295" s="6">
        <v>78.28</v>
      </c>
      <c r="X295" s="6">
        <f t="shared" si="9"/>
        <v>78.900000000000006</v>
      </c>
      <c r="Y295" s="6">
        <f t="shared" si="9"/>
        <v>71.760000000000005</v>
      </c>
    </row>
    <row r="296" spans="1:25" x14ac:dyDescent="0.25">
      <c r="A296" s="2" t="s">
        <v>204</v>
      </c>
      <c r="B296" s="2" t="s">
        <v>205</v>
      </c>
      <c r="C296" s="2" t="s">
        <v>207</v>
      </c>
      <c r="D296" s="5">
        <v>53</v>
      </c>
      <c r="E296" s="6">
        <v>51.25</v>
      </c>
      <c r="F296" s="5">
        <v>54</v>
      </c>
      <c r="G296" s="6">
        <v>52.09</v>
      </c>
      <c r="H296" s="5">
        <v>53</v>
      </c>
      <c r="I296" s="6">
        <v>51.25</v>
      </c>
      <c r="J296" s="5">
        <v>53</v>
      </c>
      <c r="K296" s="6">
        <v>51.25</v>
      </c>
      <c r="L296" s="5">
        <v>52</v>
      </c>
      <c r="M296" s="6">
        <v>50.25</v>
      </c>
      <c r="N296" s="5">
        <v>51</v>
      </c>
      <c r="O296" s="6">
        <v>49.34</v>
      </c>
      <c r="P296" s="5">
        <v>52</v>
      </c>
      <c r="Q296" s="6">
        <v>50.02</v>
      </c>
      <c r="R296" s="5">
        <v>55</v>
      </c>
      <c r="S296" s="6">
        <v>52.38</v>
      </c>
      <c r="T296" s="5">
        <v>55</v>
      </c>
      <c r="U296" s="6">
        <v>52.38</v>
      </c>
      <c r="V296" s="5">
        <v>55</v>
      </c>
      <c r="W296" s="6">
        <v>52.29</v>
      </c>
      <c r="X296" s="6">
        <f t="shared" si="9"/>
        <v>53.3</v>
      </c>
      <c r="Y296" s="6">
        <f t="shared" si="9"/>
        <v>51.25</v>
      </c>
    </row>
    <row r="297" spans="1:25" x14ac:dyDescent="0.25">
      <c r="A297" s="2" t="s">
        <v>694</v>
      </c>
      <c r="B297" s="2" t="s">
        <v>695</v>
      </c>
      <c r="C297" s="2" t="s">
        <v>461</v>
      </c>
      <c r="D297" s="5">
        <v>13</v>
      </c>
      <c r="E297" s="6">
        <v>11.42</v>
      </c>
      <c r="F297" s="5">
        <v>13</v>
      </c>
      <c r="G297" s="6">
        <v>11.42</v>
      </c>
      <c r="H297" s="5">
        <v>13</v>
      </c>
      <c r="I297" s="6">
        <v>11.42</v>
      </c>
      <c r="J297" s="5">
        <v>13</v>
      </c>
      <c r="K297" s="6">
        <v>11.55</v>
      </c>
      <c r="L297" s="5">
        <v>14</v>
      </c>
      <c r="M297" s="6">
        <v>11.72</v>
      </c>
      <c r="N297" s="5">
        <v>13</v>
      </c>
      <c r="O297" s="6">
        <v>11.42</v>
      </c>
      <c r="P297" s="5">
        <v>13</v>
      </c>
      <c r="Q297" s="6">
        <v>10.65</v>
      </c>
      <c r="R297" s="5">
        <v>12</v>
      </c>
      <c r="S297" s="6">
        <v>9.65</v>
      </c>
      <c r="T297" s="5">
        <v>13</v>
      </c>
      <c r="U297" s="6">
        <v>11.65</v>
      </c>
      <c r="V297" s="5">
        <v>13</v>
      </c>
      <c r="W297" s="6">
        <v>11.65</v>
      </c>
      <c r="X297" s="6">
        <f t="shared" si="9"/>
        <v>13</v>
      </c>
      <c r="Y297" s="6">
        <f t="shared" si="9"/>
        <v>11.26</v>
      </c>
    </row>
    <row r="298" spans="1:25" x14ac:dyDescent="0.25">
      <c r="A298" s="2" t="s">
        <v>694</v>
      </c>
      <c r="B298" s="2" t="s">
        <v>695</v>
      </c>
      <c r="C298" s="2" t="s">
        <v>578</v>
      </c>
      <c r="D298" s="5">
        <v>5</v>
      </c>
      <c r="E298" s="6">
        <v>5</v>
      </c>
      <c r="F298" s="5">
        <v>5</v>
      </c>
      <c r="G298" s="6">
        <v>5</v>
      </c>
      <c r="H298" s="5">
        <v>5</v>
      </c>
      <c r="I298" s="6">
        <v>5</v>
      </c>
      <c r="J298" s="5">
        <v>5</v>
      </c>
      <c r="K298" s="6">
        <v>5</v>
      </c>
      <c r="L298" s="5">
        <v>5</v>
      </c>
      <c r="M298" s="6">
        <v>5</v>
      </c>
      <c r="N298" s="5">
        <v>5</v>
      </c>
      <c r="O298" s="6">
        <v>5</v>
      </c>
      <c r="P298" s="5">
        <v>5</v>
      </c>
      <c r="Q298" s="6">
        <v>4.87</v>
      </c>
      <c r="R298" s="5">
        <v>5</v>
      </c>
      <c r="S298" s="6">
        <v>4.87</v>
      </c>
      <c r="T298" s="5">
        <v>8</v>
      </c>
      <c r="U298" s="6">
        <v>7.87</v>
      </c>
      <c r="V298" s="5">
        <v>8</v>
      </c>
      <c r="W298" s="6">
        <v>7.87</v>
      </c>
      <c r="X298" s="6">
        <f t="shared" si="9"/>
        <v>5.6</v>
      </c>
      <c r="Y298" s="6">
        <f t="shared" si="9"/>
        <v>5.55</v>
      </c>
    </row>
    <row r="299" spans="1:25" x14ac:dyDescent="0.25">
      <c r="A299" s="2" t="s">
        <v>131</v>
      </c>
      <c r="B299" s="2" t="s">
        <v>132</v>
      </c>
      <c r="C299" s="2" t="s">
        <v>133</v>
      </c>
      <c r="D299" s="5">
        <v>28</v>
      </c>
      <c r="E299" s="6">
        <v>28</v>
      </c>
      <c r="F299" s="5">
        <v>38</v>
      </c>
      <c r="G299" s="6">
        <v>36.47</v>
      </c>
      <c r="H299" s="5">
        <v>37</v>
      </c>
      <c r="I299" s="6">
        <v>35.47</v>
      </c>
      <c r="J299" s="5">
        <v>39</v>
      </c>
      <c r="K299" s="6">
        <v>37.25</v>
      </c>
      <c r="L299" s="5">
        <v>41</v>
      </c>
      <c r="M299" s="6">
        <v>39.25</v>
      </c>
      <c r="N299" s="5">
        <v>37</v>
      </c>
      <c r="O299" s="6">
        <v>36.35</v>
      </c>
      <c r="P299" s="5">
        <v>34</v>
      </c>
      <c r="Q299" s="6">
        <v>33.35</v>
      </c>
      <c r="R299" s="5">
        <v>44</v>
      </c>
      <c r="S299" s="6">
        <v>42.98</v>
      </c>
      <c r="T299" s="5">
        <v>43</v>
      </c>
      <c r="U299" s="6">
        <v>41.98</v>
      </c>
      <c r="V299" s="5">
        <v>43</v>
      </c>
      <c r="W299" s="6">
        <v>41.98</v>
      </c>
      <c r="X299" s="6">
        <f t="shared" si="9"/>
        <v>38.4</v>
      </c>
      <c r="Y299" s="6">
        <f t="shared" si="9"/>
        <v>37.31</v>
      </c>
    </row>
    <row r="300" spans="1:25" x14ac:dyDescent="0.25">
      <c r="A300" s="2" t="s">
        <v>579</v>
      </c>
      <c r="B300" s="2" t="s">
        <v>580</v>
      </c>
      <c r="C300" s="2" t="s">
        <v>155</v>
      </c>
      <c r="D300" s="5">
        <v>47</v>
      </c>
      <c r="E300" s="6">
        <v>46.09</v>
      </c>
      <c r="F300" s="5">
        <v>47</v>
      </c>
      <c r="G300" s="6">
        <v>46.09</v>
      </c>
      <c r="H300" s="5">
        <v>48</v>
      </c>
      <c r="I300" s="6">
        <v>47.09</v>
      </c>
      <c r="J300" s="5">
        <v>49</v>
      </c>
      <c r="K300" s="6">
        <v>48.09</v>
      </c>
      <c r="L300" s="5">
        <v>48</v>
      </c>
      <c r="M300" s="6">
        <v>47.09</v>
      </c>
      <c r="N300" s="5">
        <v>49</v>
      </c>
      <c r="O300" s="6">
        <v>48.09</v>
      </c>
      <c r="P300" s="5">
        <v>48</v>
      </c>
      <c r="Q300" s="6">
        <v>47.09</v>
      </c>
      <c r="R300" s="5">
        <v>52</v>
      </c>
      <c r="S300" s="6">
        <v>49.77</v>
      </c>
      <c r="T300" s="5">
        <v>53</v>
      </c>
      <c r="U300" s="6">
        <v>50.77</v>
      </c>
      <c r="V300" s="5">
        <v>51</v>
      </c>
      <c r="W300" s="6">
        <v>48.77</v>
      </c>
      <c r="X300" s="6">
        <f t="shared" si="9"/>
        <v>49.2</v>
      </c>
      <c r="Y300" s="6">
        <f t="shared" si="9"/>
        <v>47.89</v>
      </c>
    </row>
    <row r="301" spans="1:25" x14ac:dyDescent="0.25">
      <c r="A301" s="2" t="s">
        <v>579</v>
      </c>
      <c r="B301" s="2" t="s">
        <v>580</v>
      </c>
      <c r="C301" s="2" t="s">
        <v>581</v>
      </c>
      <c r="D301" s="5">
        <v>189</v>
      </c>
      <c r="E301" s="6">
        <v>161.60000000000002</v>
      </c>
      <c r="F301" s="5">
        <v>185</v>
      </c>
      <c r="G301" s="6">
        <v>158.06</v>
      </c>
      <c r="H301" s="5">
        <v>183</v>
      </c>
      <c r="I301" s="6">
        <v>153.51</v>
      </c>
      <c r="J301" s="5">
        <v>188</v>
      </c>
      <c r="K301" s="6">
        <v>159.70000000000002</v>
      </c>
      <c r="L301" s="5">
        <v>187</v>
      </c>
      <c r="M301" s="6">
        <v>160.32999999999998</v>
      </c>
      <c r="N301" s="5">
        <v>194</v>
      </c>
      <c r="O301" s="6">
        <v>169.27</v>
      </c>
      <c r="P301" s="5">
        <v>187</v>
      </c>
      <c r="Q301" s="6">
        <v>161.97999999999999</v>
      </c>
      <c r="R301" s="5">
        <v>189</v>
      </c>
      <c r="S301" s="6">
        <v>163.36000000000001</v>
      </c>
      <c r="T301" s="5">
        <v>182</v>
      </c>
      <c r="U301" s="6">
        <v>156.44000000000003</v>
      </c>
      <c r="V301" s="5">
        <v>175</v>
      </c>
      <c r="W301" s="6">
        <v>150.38000000000002</v>
      </c>
      <c r="X301" s="6">
        <f t="shared" si="9"/>
        <v>185.9</v>
      </c>
      <c r="Y301" s="6">
        <f t="shared" si="9"/>
        <v>159.46</v>
      </c>
    </row>
    <row r="302" spans="1:25" x14ac:dyDescent="0.25">
      <c r="A302" s="2" t="s">
        <v>579</v>
      </c>
      <c r="B302" s="2" t="s">
        <v>580</v>
      </c>
      <c r="C302" s="2" t="s">
        <v>582</v>
      </c>
      <c r="D302" s="5">
        <v>64</v>
      </c>
      <c r="E302" s="6">
        <v>61.5</v>
      </c>
      <c r="F302" s="5">
        <v>75</v>
      </c>
      <c r="G302" s="6">
        <v>72.03</v>
      </c>
      <c r="H302" s="5">
        <v>83</v>
      </c>
      <c r="I302" s="6">
        <v>80.03</v>
      </c>
      <c r="J302" s="5">
        <v>90</v>
      </c>
      <c r="K302" s="6">
        <v>86.539999999999992</v>
      </c>
      <c r="L302" s="5">
        <v>98</v>
      </c>
      <c r="M302" s="6">
        <v>93.610000000000014</v>
      </c>
      <c r="N302" s="5">
        <v>105</v>
      </c>
      <c r="O302" s="6">
        <v>101.07</v>
      </c>
      <c r="P302" s="5">
        <v>104</v>
      </c>
      <c r="Q302" s="6">
        <v>98.92</v>
      </c>
      <c r="R302" s="5">
        <v>103</v>
      </c>
      <c r="S302" s="6">
        <v>96.11</v>
      </c>
      <c r="T302" s="5">
        <v>101</v>
      </c>
      <c r="U302" s="6">
        <v>93.18</v>
      </c>
      <c r="V302" s="5">
        <v>98</v>
      </c>
      <c r="W302" s="6">
        <v>83.22</v>
      </c>
      <c r="X302" s="6">
        <f t="shared" si="9"/>
        <v>92.1</v>
      </c>
      <c r="Y302" s="6">
        <f t="shared" si="9"/>
        <v>86.62</v>
      </c>
    </row>
    <row r="303" spans="1:25" x14ac:dyDescent="0.25">
      <c r="A303" s="2" t="s">
        <v>579</v>
      </c>
      <c r="B303" s="2" t="s">
        <v>580</v>
      </c>
      <c r="C303" s="2" t="s">
        <v>583</v>
      </c>
      <c r="D303" s="5">
        <v>80</v>
      </c>
      <c r="E303" s="6">
        <v>76.25</v>
      </c>
      <c r="F303" s="5">
        <v>93</v>
      </c>
      <c r="G303" s="6">
        <v>85.590000000000018</v>
      </c>
      <c r="H303" s="5">
        <v>96</v>
      </c>
      <c r="I303" s="6">
        <v>89.01</v>
      </c>
      <c r="J303" s="5">
        <v>89</v>
      </c>
      <c r="K303" s="6">
        <v>82.620000000000019</v>
      </c>
      <c r="L303" s="5">
        <v>101</v>
      </c>
      <c r="M303" s="6">
        <v>95.990000000000009</v>
      </c>
      <c r="N303" s="5">
        <v>106</v>
      </c>
      <c r="O303" s="6">
        <v>99.09</v>
      </c>
      <c r="P303" s="5">
        <v>108</v>
      </c>
      <c r="Q303" s="6">
        <v>102.15</v>
      </c>
      <c r="R303" s="5">
        <v>104</v>
      </c>
      <c r="S303" s="6">
        <v>97.460000000000008</v>
      </c>
      <c r="T303" s="5">
        <v>102</v>
      </c>
      <c r="U303" s="6">
        <v>94.670000000000016</v>
      </c>
      <c r="V303" s="5">
        <v>104</v>
      </c>
      <c r="W303" s="6">
        <v>97.57</v>
      </c>
      <c r="X303" s="6">
        <f t="shared" si="9"/>
        <v>98.3</v>
      </c>
      <c r="Y303" s="6">
        <f t="shared" si="9"/>
        <v>92.04</v>
      </c>
    </row>
    <row r="304" spans="1:25" x14ac:dyDescent="0.25">
      <c r="A304" s="2" t="s">
        <v>639</v>
      </c>
      <c r="B304" s="2" t="s">
        <v>640</v>
      </c>
      <c r="C304" s="2" t="s">
        <v>641</v>
      </c>
      <c r="D304" s="5">
        <v>41</v>
      </c>
      <c r="E304" s="6">
        <v>40.799999999999997</v>
      </c>
      <c r="F304" s="5">
        <v>48</v>
      </c>
      <c r="G304" s="6">
        <v>47.8</v>
      </c>
      <c r="H304" s="5">
        <v>48</v>
      </c>
      <c r="I304" s="6">
        <v>47.22</v>
      </c>
      <c r="J304" s="5">
        <v>47</v>
      </c>
      <c r="K304" s="6">
        <v>45.7</v>
      </c>
      <c r="L304" s="5">
        <v>46</v>
      </c>
      <c r="M304" s="6">
        <v>44.7</v>
      </c>
      <c r="N304" s="5">
        <v>57</v>
      </c>
      <c r="O304" s="6">
        <v>56.36</v>
      </c>
      <c r="P304" s="5">
        <v>62</v>
      </c>
      <c r="Q304" s="6">
        <v>60.78</v>
      </c>
      <c r="R304" s="5">
        <v>64</v>
      </c>
      <c r="S304" s="6">
        <v>62.5</v>
      </c>
      <c r="T304" s="5">
        <v>55</v>
      </c>
      <c r="U304" s="6">
        <v>53.6</v>
      </c>
      <c r="V304" s="5">
        <v>49</v>
      </c>
      <c r="W304" s="6">
        <v>47.6</v>
      </c>
      <c r="X304" s="6">
        <f t="shared" si="9"/>
        <v>51.7</v>
      </c>
      <c r="Y304" s="6">
        <f t="shared" si="9"/>
        <v>50.71</v>
      </c>
    </row>
    <row r="305" spans="1:25" x14ac:dyDescent="0.25">
      <c r="A305" s="2" t="s">
        <v>71</v>
      </c>
      <c r="B305" s="2" t="s">
        <v>72</v>
      </c>
      <c r="C305" s="2" t="s">
        <v>73</v>
      </c>
      <c r="D305" s="5">
        <v>1</v>
      </c>
      <c r="E305" s="6">
        <v>1</v>
      </c>
      <c r="F305" s="5">
        <v>1</v>
      </c>
      <c r="G305" s="6">
        <v>1</v>
      </c>
      <c r="H305" s="5">
        <v>1</v>
      </c>
      <c r="I305" s="6">
        <v>1</v>
      </c>
      <c r="J305" s="5">
        <v>1</v>
      </c>
      <c r="K305" s="6">
        <v>1</v>
      </c>
      <c r="L305" s="5">
        <v>1</v>
      </c>
      <c r="M305" s="6">
        <v>1</v>
      </c>
      <c r="N305" s="5">
        <v>1</v>
      </c>
      <c r="O305" s="6">
        <v>1</v>
      </c>
      <c r="P305" s="5">
        <v>0</v>
      </c>
      <c r="Q305" s="6">
        <v>0</v>
      </c>
      <c r="R305" s="5">
        <v>1</v>
      </c>
      <c r="S305" s="6">
        <v>1</v>
      </c>
      <c r="T305" s="5">
        <v>3</v>
      </c>
      <c r="U305" s="6">
        <v>3</v>
      </c>
      <c r="V305" s="5">
        <v>3</v>
      </c>
      <c r="W305" s="6">
        <v>3</v>
      </c>
      <c r="X305" s="6">
        <f t="shared" si="9"/>
        <v>1.3</v>
      </c>
      <c r="Y305" s="6">
        <f t="shared" si="9"/>
        <v>1.3</v>
      </c>
    </row>
    <row r="306" spans="1:25" x14ac:dyDescent="0.25">
      <c r="A306" s="2" t="s">
        <v>71</v>
      </c>
      <c r="B306" s="2" t="s">
        <v>72</v>
      </c>
      <c r="C306" s="2" t="s">
        <v>74</v>
      </c>
      <c r="D306" s="5">
        <v>0</v>
      </c>
      <c r="E306" s="6">
        <v>0</v>
      </c>
      <c r="F306" s="5">
        <v>0</v>
      </c>
      <c r="G306" s="6">
        <v>0</v>
      </c>
      <c r="H306" s="5">
        <v>0</v>
      </c>
      <c r="I306" s="6">
        <v>0</v>
      </c>
      <c r="J306" s="5">
        <v>0</v>
      </c>
      <c r="K306" s="6">
        <v>0</v>
      </c>
      <c r="L306" s="5">
        <v>0</v>
      </c>
      <c r="M306" s="6">
        <v>0</v>
      </c>
      <c r="N306" s="5">
        <v>0</v>
      </c>
      <c r="O306" s="6">
        <v>0</v>
      </c>
      <c r="P306" s="5">
        <v>1</v>
      </c>
      <c r="Q306" s="6">
        <v>1</v>
      </c>
      <c r="R306" s="5">
        <v>0</v>
      </c>
      <c r="S306" s="6">
        <v>0</v>
      </c>
      <c r="T306" s="5">
        <v>0</v>
      </c>
      <c r="U306" s="6">
        <v>0</v>
      </c>
      <c r="V306" s="5">
        <v>0</v>
      </c>
      <c r="W306" s="6">
        <v>0</v>
      </c>
      <c r="X306" s="6">
        <f t="shared" si="9"/>
        <v>0.1</v>
      </c>
      <c r="Y306" s="6">
        <f t="shared" si="9"/>
        <v>0.1</v>
      </c>
    </row>
    <row r="307" spans="1:25" x14ac:dyDescent="0.25">
      <c r="A307" s="2" t="s">
        <v>71</v>
      </c>
      <c r="B307" s="2" t="s">
        <v>72</v>
      </c>
      <c r="C307" s="2" t="s">
        <v>75</v>
      </c>
      <c r="D307" s="5">
        <v>15</v>
      </c>
      <c r="E307" s="6">
        <v>14.65</v>
      </c>
      <c r="F307" s="5">
        <v>20</v>
      </c>
      <c r="G307" s="6">
        <v>16.73</v>
      </c>
      <c r="H307" s="5">
        <v>21</v>
      </c>
      <c r="I307" s="6">
        <v>17.559999999999999</v>
      </c>
      <c r="J307" s="5">
        <v>21</v>
      </c>
      <c r="K307" s="6">
        <v>19.190000000000001</v>
      </c>
      <c r="L307" s="5">
        <v>25</v>
      </c>
      <c r="M307" s="6">
        <v>23.19</v>
      </c>
      <c r="N307" s="5">
        <v>29</v>
      </c>
      <c r="O307" s="6">
        <v>27.19</v>
      </c>
      <c r="P307" s="5">
        <v>32</v>
      </c>
      <c r="Q307" s="6">
        <v>30.54</v>
      </c>
      <c r="R307" s="5">
        <v>38</v>
      </c>
      <c r="S307" s="6">
        <v>36.19</v>
      </c>
      <c r="T307" s="5">
        <v>41</v>
      </c>
      <c r="U307" s="6">
        <v>40.299999999999997</v>
      </c>
      <c r="V307" s="5">
        <v>31</v>
      </c>
      <c r="W307" s="6">
        <v>30.3</v>
      </c>
      <c r="X307" s="6">
        <f t="shared" si="9"/>
        <v>27.3</v>
      </c>
      <c r="Y307" s="6">
        <f t="shared" si="9"/>
        <v>25.58</v>
      </c>
    </row>
    <row r="308" spans="1:25" x14ac:dyDescent="0.25">
      <c r="A308" s="2" t="s">
        <v>11</v>
      </c>
      <c r="B308" s="2" t="s">
        <v>12</v>
      </c>
      <c r="C308" s="2" t="s">
        <v>13</v>
      </c>
      <c r="D308" s="5">
        <v>0</v>
      </c>
      <c r="E308" s="6">
        <v>0</v>
      </c>
      <c r="F308" s="5">
        <v>2</v>
      </c>
      <c r="G308" s="6">
        <v>2</v>
      </c>
      <c r="H308" s="5">
        <v>2</v>
      </c>
      <c r="I308" s="6">
        <v>2</v>
      </c>
      <c r="J308" s="5">
        <v>2</v>
      </c>
      <c r="K308" s="6">
        <v>2</v>
      </c>
      <c r="L308" s="5">
        <v>2</v>
      </c>
      <c r="M308" s="6">
        <v>2</v>
      </c>
      <c r="N308" s="5">
        <v>2</v>
      </c>
      <c r="O308" s="6">
        <v>2</v>
      </c>
      <c r="P308" s="5">
        <v>2</v>
      </c>
      <c r="Q308" s="6">
        <v>2</v>
      </c>
      <c r="R308" s="5">
        <v>2</v>
      </c>
      <c r="S308" s="6">
        <v>2</v>
      </c>
      <c r="T308" s="5">
        <v>1</v>
      </c>
      <c r="U308" s="6">
        <v>1</v>
      </c>
      <c r="V308" s="5">
        <v>1</v>
      </c>
      <c r="W308" s="6">
        <v>1</v>
      </c>
      <c r="X308" s="6">
        <f t="shared" si="9"/>
        <v>1.6</v>
      </c>
      <c r="Y308" s="6">
        <f t="shared" si="9"/>
        <v>1.6</v>
      </c>
    </row>
    <row r="309" spans="1:25" x14ac:dyDescent="0.25">
      <c r="A309" s="2" t="s">
        <v>41</v>
      </c>
      <c r="B309" s="2" t="s">
        <v>42</v>
      </c>
      <c r="C309" s="2" t="s">
        <v>43</v>
      </c>
      <c r="D309" s="5">
        <v>3</v>
      </c>
      <c r="E309" s="6">
        <v>2.92</v>
      </c>
      <c r="F309" s="5">
        <v>3</v>
      </c>
      <c r="G309" s="6">
        <v>2.92</v>
      </c>
      <c r="H309" s="5">
        <v>7</v>
      </c>
      <c r="I309" s="6">
        <v>6.84</v>
      </c>
      <c r="J309" s="5">
        <v>8</v>
      </c>
      <c r="K309" s="6">
        <v>7.84</v>
      </c>
      <c r="L309" s="5">
        <v>8</v>
      </c>
      <c r="M309" s="6">
        <v>7.84</v>
      </c>
      <c r="N309" s="5">
        <v>10</v>
      </c>
      <c r="O309" s="6">
        <v>9.84</v>
      </c>
      <c r="P309" s="5">
        <v>9</v>
      </c>
      <c r="Q309" s="6">
        <v>8.879999999999999</v>
      </c>
      <c r="R309" s="5">
        <v>9</v>
      </c>
      <c r="S309" s="6">
        <v>8.879999999999999</v>
      </c>
      <c r="T309" s="5">
        <v>13</v>
      </c>
      <c r="U309" s="6">
        <v>12.8</v>
      </c>
      <c r="V309" s="5">
        <v>14</v>
      </c>
      <c r="W309" s="6">
        <v>13.760000000000002</v>
      </c>
      <c r="X309" s="6">
        <f t="shared" si="9"/>
        <v>8.4</v>
      </c>
      <c r="Y309" s="6">
        <f t="shared" si="9"/>
        <v>8.25</v>
      </c>
    </row>
    <row r="310" spans="1:25" x14ac:dyDescent="0.25">
      <c r="A310" s="2" t="s">
        <v>41</v>
      </c>
      <c r="B310" s="2" t="s">
        <v>42</v>
      </c>
      <c r="C310" s="2" t="s">
        <v>44</v>
      </c>
      <c r="D310" s="5">
        <v>227</v>
      </c>
      <c r="E310" s="6">
        <v>188.41</v>
      </c>
      <c r="F310" s="5">
        <v>224</v>
      </c>
      <c r="G310" s="6">
        <v>187.09</v>
      </c>
      <c r="H310" s="5">
        <v>221</v>
      </c>
      <c r="I310" s="6">
        <v>184.64</v>
      </c>
      <c r="J310" s="5">
        <v>225</v>
      </c>
      <c r="K310" s="6">
        <v>187.39999999999998</v>
      </c>
      <c r="L310" s="5">
        <v>227</v>
      </c>
      <c r="M310" s="6">
        <v>190.79</v>
      </c>
      <c r="N310" s="5">
        <v>225</v>
      </c>
      <c r="O310" s="6">
        <v>189.36</v>
      </c>
      <c r="P310" s="5">
        <v>227</v>
      </c>
      <c r="Q310" s="6">
        <v>190.87</v>
      </c>
      <c r="R310" s="5">
        <v>229</v>
      </c>
      <c r="S310" s="6">
        <v>194.44</v>
      </c>
      <c r="T310" s="5">
        <v>232</v>
      </c>
      <c r="U310" s="6">
        <v>195.34</v>
      </c>
      <c r="V310" s="5">
        <v>231</v>
      </c>
      <c r="W310" s="6">
        <v>195.20000000000002</v>
      </c>
      <c r="X310" s="6">
        <f t="shared" si="9"/>
        <v>226.8</v>
      </c>
      <c r="Y310" s="6">
        <f t="shared" si="9"/>
        <v>190.35</v>
      </c>
    </row>
    <row r="311" spans="1:25" x14ac:dyDescent="0.25">
      <c r="A311" s="2" t="s">
        <v>41</v>
      </c>
      <c r="B311" s="2" t="s">
        <v>42</v>
      </c>
      <c r="C311" s="2" t="s">
        <v>45</v>
      </c>
      <c r="D311" s="5">
        <v>28</v>
      </c>
      <c r="E311" s="6">
        <v>24.56</v>
      </c>
      <c r="F311" s="5">
        <v>29</v>
      </c>
      <c r="G311" s="6">
        <v>25.59</v>
      </c>
      <c r="H311" s="5">
        <v>29</v>
      </c>
      <c r="I311" s="6">
        <v>25.75</v>
      </c>
      <c r="J311" s="5">
        <v>26</v>
      </c>
      <c r="K311" s="6">
        <v>22.79</v>
      </c>
      <c r="L311" s="5">
        <v>27</v>
      </c>
      <c r="M311" s="6">
        <v>22.79</v>
      </c>
      <c r="N311" s="5">
        <v>25</v>
      </c>
      <c r="O311" s="6">
        <v>21.86</v>
      </c>
      <c r="P311" s="5">
        <v>29</v>
      </c>
      <c r="Q311" s="6">
        <v>25.86</v>
      </c>
      <c r="R311" s="5">
        <v>34</v>
      </c>
      <c r="S311" s="6">
        <v>30.76</v>
      </c>
      <c r="T311" s="5">
        <v>38</v>
      </c>
      <c r="U311" s="6">
        <v>34.58</v>
      </c>
      <c r="V311" s="5">
        <v>36</v>
      </c>
      <c r="W311" s="6">
        <v>32.72</v>
      </c>
      <c r="X311" s="6">
        <f t="shared" si="9"/>
        <v>30.1</v>
      </c>
      <c r="Y311" s="6">
        <f t="shared" si="9"/>
        <v>26.73</v>
      </c>
    </row>
    <row r="312" spans="1:25" x14ac:dyDescent="0.25">
      <c r="A312" s="2" t="s">
        <v>41</v>
      </c>
      <c r="B312" s="2" t="s">
        <v>42</v>
      </c>
      <c r="C312" s="2" t="s">
        <v>46</v>
      </c>
      <c r="D312" s="5">
        <v>99</v>
      </c>
      <c r="E312" s="6">
        <v>96</v>
      </c>
      <c r="F312" s="5">
        <v>115</v>
      </c>
      <c r="G312" s="6">
        <v>111.99</v>
      </c>
      <c r="H312" s="5">
        <v>125</v>
      </c>
      <c r="I312" s="6">
        <v>122</v>
      </c>
      <c r="J312" s="5">
        <v>130</v>
      </c>
      <c r="K312" s="6">
        <v>127</v>
      </c>
      <c r="L312" s="5">
        <v>134</v>
      </c>
      <c r="M312" s="6">
        <v>131</v>
      </c>
      <c r="N312" s="5">
        <v>137</v>
      </c>
      <c r="O312" s="6">
        <v>134</v>
      </c>
      <c r="P312" s="5">
        <v>138</v>
      </c>
      <c r="Q312" s="6">
        <v>135.54000000000002</v>
      </c>
      <c r="R312" s="5">
        <v>136</v>
      </c>
      <c r="S312" s="6">
        <v>133.54000000000002</v>
      </c>
      <c r="T312" s="5">
        <v>135</v>
      </c>
      <c r="U312" s="6">
        <v>131.79000000000002</v>
      </c>
      <c r="V312" s="5">
        <v>102</v>
      </c>
      <c r="W312" s="6">
        <v>99.67</v>
      </c>
      <c r="X312" s="6">
        <f t="shared" si="9"/>
        <v>125.1</v>
      </c>
      <c r="Y312" s="6">
        <f t="shared" si="9"/>
        <v>122.25</v>
      </c>
    </row>
    <row r="313" spans="1:25" x14ac:dyDescent="0.25">
      <c r="A313" s="2" t="s">
        <v>521</v>
      </c>
      <c r="B313" s="2" t="s">
        <v>522</v>
      </c>
      <c r="C313" s="2" t="s">
        <v>523</v>
      </c>
      <c r="D313" s="5">
        <v>297</v>
      </c>
      <c r="E313" s="6">
        <v>288.39999999999998</v>
      </c>
      <c r="F313" s="5">
        <v>305</v>
      </c>
      <c r="G313" s="6">
        <v>295.87</v>
      </c>
      <c r="H313" s="5">
        <v>309</v>
      </c>
      <c r="I313" s="6">
        <v>300.46999999999997</v>
      </c>
      <c r="J313" s="5">
        <v>318</v>
      </c>
      <c r="K313" s="6">
        <v>311.40000000000003</v>
      </c>
      <c r="L313" s="5">
        <v>318</v>
      </c>
      <c r="M313" s="6">
        <v>311.40000000000003</v>
      </c>
      <c r="N313" s="5">
        <v>329</v>
      </c>
      <c r="O313" s="6">
        <v>323.2</v>
      </c>
      <c r="P313" s="5">
        <v>336</v>
      </c>
      <c r="Q313" s="6">
        <v>330.20000000000005</v>
      </c>
      <c r="R313" s="5">
        <v>330</v>
      </c>
      <c r="S313" s="6">
        <v>326.60000000000002</v>
      </c>
      <c r="T313" s="5">
        <v>332</v>
      </c>
      <c r="U313" s="6">
        <v>329.13</v>
      </c>
      <c r="V313" s="5">
        <v>336</v>
      </c>
      <c r="W313" s="6">
        <v>333.13000000000005</v>
      </c>
      <c r="X313" s="6">
        <f t="shared" si="9"/>
        <v>321</v>
      </c>
      <c r="Y313" s="6">
        <f t="shared" si="9"/>
        <v>314.98</v>
      </c>
    </row>
    <row r="314" spans="1:25" x14ac:dyDescent="0.25">
      <c r="A314" s="2" t="s">
        <v>521</v>
      </c>
      <c r="B314" s="2" t="s">
        <v>522</v>
      </c>
      <c r="C314" s="2" t="s">
        <v>524</v>
      </c>
      <c r="D314" s="5">
        <v>231</v>
      </c>
      <c r="E314" s="6">
        <v>231</v>
      </c>
      <c r="F314" s="5">
        <v>229</v>
      </c>
      <c r="G314" s="6">
        <v>227.07</v>
      </c>
      <c r="H314" s="5">
        <v>236</v>
      </c>
      <c r="I314" s="6">
        <v>235.13</v>
      </c>
      <c r="J314" s="5">
        <v>237</v>
      </c>
      <c r="K314" s="6">
        <v>236.13</v>
      </c>
      <c r="L314" s="5">
        <v>239</v>
      </c>
      <c r="M314" s="6">
        <v>238</v>
      </c>
      <c r="N314" s="5">
        <v>250</v>
      </c>
      <c r="O314" s="6">
        <v>248.99999999999997</v>
      </c>
      <c r="P314" s="5">
        <v>249</v>
      </c>
      <c r="Q314" s="6">
        <v>248</v>
      </c>
      <c r="R314" s="5">
        <v>248</v>
      </c>
      <c r="S314" s="6">
        <v>245.4</v>
      </c>
      <c r="T314" s="5">
        <v>248</v>
      </c>
      <c r="U314" s="6">
        <v>246.4</v>
      </c>
      <c r="V314" s="5">
        <v>249</v>
      </c>
      <c r="W314" s="6">
        <v>247.4</v>
      </c>
      <c r="X314" s="6">
        <f t="shared" si="9"/>
        <v>241.6</v>
      </c>
      <c r="Y314" s="6">
        <f t="shared" si="9"/>
        <v>240.35</v>
      </c>
    </row>
    <row r="315" spans="1:25" x14ac:dyDescent="0.25">
      <c r="A315" s="2" t="s">
        <v>521</v>
      </c>
      <c r="B315" s="2" t="s">
        <v>522</v>
      </c>
      <c r="C315" s="2" t="s">
        <v>525</v>
      </c>
      <c r="D315" s="5">
        <v>197</v>
      </c>
      <c r="E315" s="6">
        <v>197</v>
      </c>
      <c r="F315" s="5">
        <v>200</v>
      </c>
      <c r="G315" s="6">
        <v>200</v>
      </c>
      <c r="H315" s="5">
        <v>200</v>
      </c>
      <c r="I315" s="6">
        <v>200</v>
      </c>
      <c r="J315" s="5">
        <v>198</v>
      </c>
      <c r="K315" s="6">
        <v>198</v>
      </c>
      <c r="L315" s="5">
        <v>198</v>
      </c>
      <c r="M315" s="6">
        <v>198</v>
      </c>
      <c r="N315" s="5">
        <v>197</v>
      </c>
      <c r="O315" s="6">
        <v>196</v>
      </c>
      <c r="P315" s="5">
        <v>195</v>
      </c>
      <c r="Q315" s="6">
        <v>195</v>
      </c>
      <c r="R315" s="5">
        <v>193</v>
      </c>
      <c r="S315" s="6">
        <v>193</v>
      </c>
      <c r="T315" s="5">
        <v>192</v>
      </c>
      <c r="U315" s="6">
        <v>192</v>
      </c>
      <c r="V315" s="5">
        <v>192</v>
      </c>
      <c r="W315" s="6">
        <v>192</v>
      </c>
      <c r="X315" s="6">
        <f t="shared" si="9"/>
        <v>196.2</v>
      </c>
      <c r="Y315" s="6">
        <f t="shared" si="9"/>
        <v>196.1</v>
      </c>
    </row>
    <row r="316" spans="1:25" x14ac:dyDescent="0.25">
      <c r="A316" s="2" t="s">
        <v>521</v>
      </c>
      <c r="B316" s="2" t="s">
        <v>522</v>
      </c>
      <c r="C316" s="2" t="s">
        <v>526</v>
      </c>
      <c r="D316" s="5">
        <v>40</v>
      </c>
      <c r="E316" s="6">
        <v>39.299999999999997</v>
      </c>
      <c r="F316" s="5">
        <v>41</v>
      </c>
      <c r="G316" s="6">
        <v>40.299999999999997</v>
      </c>
      <c r="H316" s="5">
        <v>45</v>
      </c>
      <c r="I316" s="6">
        <v>44.3</v>
      </c>
      <c r="J316" s="5">
        <v>48</v>
      </c>
      <c r="K316" s="6">
        <v>47.3</v>
      </c>
      <c r="L316" s="5">
        <v>49</v>
      </c>
      <c r="M316" s="6">
        <v>48.3</v>
      </c>
      <c r="N316" s="5">
        <v>50</v>
      </c>
      <c r="O316" s="6">
        <v>49.3</v>
      </c>
      <c r="P316" s="5">
        <v>50</v>
      </c>
      <c r="Q316" s="6">
        <v>49.3</v>
      </c>
      <c r="R316" s="5">
        <v>48</v>
      </c>
      <c r="S316" s="6">
        <v>47.8</v>
      </c>
      <c r="T316" s="5">
        <v>50</v>
      </c>
      <c r="U316" s="6">
        <v>49.8</v>
      </c>
      <c r="V316" s="5">
        <v>50</v>
      </c>
      <c r="W316" s="6">
        <v>49.8</v>
      </c>
      <c r="X316" s="6">
        <f t="shared" si="9"/>
        <v>47.1</v>
      </c>
      <c r="Y316" s="6">
        <f t="shared" si="9"/>
        <v>46.55</v>
      </c>
    </row>
    <row r="317" spans="1:25" x14ac:dyDescent="0.25">
      <c r="A317" s="2" t="s">
        <v>642</v>
      </c>
      <c r="B317" s="2" t="s">
        <v>643</v>
      </c>
      <c r="C317" s="2" t="s">
        <v>644</v>
      </c>
      <c r="D317" s="5">
        <v>19</v>
      </c>
      <c r="E317" s="6">
        <v>15.999999999999998</v>
      </c>
      <c r="F317" s="5">
        <v>22</v>
      </c>
      <c r="G317" s="6">
        <v>19.2</v>
      </c>
      <c r="H317" s="5">
        <v>24</v>
      </c>
      <c r="I317" s="6">
        <v>20.199999999999996</v>
      </c>
      <c r="J317" s="5">
        <v>25</v>
      </c>
      <c r="K317" s="6">
        <v>22.199999999999996</v>
      </c>
      <c r="L317" s="5">
        <v>26</v>
      </c>
      <c r="M317" s="6">
        <v>23.199999999999996</v>
      </c>
      <c r="N317" s="5">
        <v>23</v>
      </c>
      <c r="O317" s="6">
        <v>20.27</v>
      </c>
      <c r="P317" s="5">
        <v>26</v>
      </c>
      <c r="Q317" s="6">
        <v>23.470000000000002</v>
      </c>
      <c r="R317" s="5">
        <v>32</v>
      </c>
      <c r="S317" s="6">
        <v>29.67</v>
      </c>
      <c r="T317" s="5">
        <v>30</v>
      </c>
      <c r="U317" s="6">
        <v>26.87</v>
      </c>
      <c r="V317" s="5">
        <v>30</v>
      </c>
      <c r="W317" s="6">
        <v>27.27</v>
      </c>
      <c r="X317" s="6">
        <f t="shared" si="9"/>
        <v>25.7</v>
      </c>
      <c r="Y317" s="6">
        <f t="shared" si="9"/>
        <v>22.84</v>
      </c>
    </row>
    <row r="318" spans="1:25" x14ac:dyDescent="0.25">
      <c r="A318" s="2" t="s">
        <v>642</v>
      </c>
      <c r="B318" s="2" t="s">
        <v>643</v>
      </c>
      <c r="C318" s="2" t="s">
        <v>645</v>
      </c>
      <c r="D318" s="5">
        <v>146</v>
      </c>
      <c r="E318" s="6">
        <v>118.04999999999998</v>
      </c>
      <c r="F318" s="5">
        <v>231</v>
      </c>
      <c r="G318" s="6">
        <v>175.67000000000002</v>
      </c>
      <c r="H318" s="5">
        <v>258</v>
      </c>
      <c r="I318" s="6">
        <v>195.93</v>
      </c>
      <c r="J318" s="5">
        <v>257</v>
      </c>
      <c r="K318" s="6">
        <v>198.58000000000004</v>
      </c>
      <c r="L318" s="5">
        <v>250</v>
      </c>
      <c r="M318" s="6">
        <v>195.26999999999995</v>
      </c>
      <c r="N318" s="5">
        <v>261</v>
      </c>
      <c r="O318" s="6">
        <v>202.19999999999996</v>
      </c>
      <c r="P318" s="5">
        <v>264</v>
      </c>
      <c r="Q318" s="6">
        <v>201.26</v>
      </c>
      <c r="R318" s="5">
        <v>276</v>
      </c>
      <c r="S318" s="6">
        <v>214.35000000000002</v>
      </c>
      <c r="T318" s="5">
        <v>269</v>
      </c>
      <c r="U318" s="6">
        <v>204.2</v>
      </c>
      <c r="V318" s="5">
        <v>249</v>
      </c>
      <c r="W318" s="6">
        <v>188.51999999999998</v>
      </c>
      <c r="X318" s="6">
        <f t="shared" si="9"/>
        <v>246.1</v>
      </c>
      <c r="Y318" s="6">
        <f t="shared" si="9"/>
        <v>189.4</v>
      </c>
    </row>
    <row r="319" spans="1:25" x14ac:dyDescent="0.25">
      <c r="A319" s="2" t="s">
        <v>642</v>
      </c>
      <c r="B319" s="2" t="s">
        <v>643</v>
      </c>
      <c r="C319" s="2" t="s">
        <v>646</v>
      </c>
      <c r="D319" s="5">
        <v>25</v>
      </c>
      <c r="E319" s="6">
        <v>21.2</v>
      </c>
      <c r="F319" s="5">
        <v>30</v>
      </c>
      <c r="G319" s="6">
        <v>25.8</v>
      </c>
      <c r="H319" s="5">
        <v>31</v>
      </c>
      <c r="I319" s="6">
        <v>25.6</v>
      </c>
      <c r="J319" s="5">
        <v>32</v>
      </c>
      <c r="K319" s="6">
        <v>27.000000000000004</v>
      </c>
      <c r="L319" s="5">
        <v>35</v>
      </c>
      <c r="M319" s="6">
        <v>29.910000000000004</v>
      </c>
      <c r="N319" s="5">
        <v>37</v>
      </c>
      <c r="O319" s="6">
        <v>31.910000000000004</v>
      </c>
      <c r="P319" s="5">
        <v>37</v>
      </c>
      <c r="Q319" s="6">
        <v>31.2</v>
      </c>
      <c r="R319" s="5">
        <v>35</v>
      </c>
      <c r="S319" s="6">
        <v>30.6</v>
      </c>
      <c r="T319" s="5">
        <v>34</v>
      </c>
      <c r="U319" s="6">
        <v>29.400000000000006</v>
      </c>
      <c r="V319" s="5">
        <v>32</v>
      </c>
      <c r="W319" s="6">
        <v>27.2</v>
      </c>
      <c r="X319" s="6">
        <f t="shared" si="9"/>
        <v>32.799999999999997</v>
      </c>
      <c r="Y319" s="6">
        <f t="shared" si="9"/>
        <v>27.98</v>
      </c>
    </row>
    <row r="320" spans="1:25" x14ac:dyDescent="0.25">
      <c r="A320" s="2" t="s">
        <v>642</v>
      </c>
      <c r="B320" s="2" t="s">
        <v>643</v>
      </c>
      <c r="C320" s="2" t="s">
        <v>647</v>
      </c>
      <c r="D320" s="5">
        <v>10</v>
      </c>
      <c r="E320" s="6">
        <v>7.830000000000001</v>
      </c>
      <c r="F320" s="5">
        <v>10</v>
      </c>
      <c r="G320" s="6">
        <v>8.19</v>
      </c>
      <c r="H320" s="5">
        <v>12</v>
      </c>
      <c r="I320" s="6">
        <v>7.95</v>
      </c>
      <c r="J320" s="5">
        <v>12</v>
      </c>
      <c r="K320" s="6">
        <v>7.5900000000000007</v>
      </c>
      <c r="L320" s="5">
        <v>12</v>
      </c>
      <c r="M320" s="6">
        <v>7.5900000000000007</v>
      </c>
      <c r="N320" s="5">
        <v>8</v>
      </c>
      <c r="O320" s="6">
        <v>4.95</v>
      </c>
      <c r="P320" s="5">
        <v>6</v>
      </c>
      <c r="Q320" s="6">
        <v>4.6800000000000006</v>
      </c>
      <c r="R320" s="5">
        <v>7</v>
      </c>
      <c r="S320" s="6">
        <v>5.5500000000000007</v>
      </c>
      <c r="T320" s="5">
        <v>6</v>
      </c>
      <c r="U320" s="6">
        <v>4.5900000000000007</v>
      </c>
      <c r="V320" s="5">
        <v>6</v>
      </c>
      <c r="W320" s="6">
        <v>3.9899999999999998</v>
      </c>
      <c r="X320" s="6">
        <f t="shared" si="9"/>
        <v>8.9</v>
      </c>
      <c r="Y320" s="6">
        <f t="shared" si="9"/>
        <v>6.29</v>
      </c>
    </row>
    <row r="321" spans="1:25" x14ac:dyDescent="0.25">
      <c r="A321" s="2" t="s">
        <v>303</v>
      </c>
      <c r="B321" s="2" t="s">
        <v>304</v>
      </c>
      <c r="C321" s="2" t="s">
        <v>305</v>
      </c>
      <c r="D321" s="5">
        <v>17</v>
      </c>
      <c r="E321" s="6">
        <v>14.75</v>
      </c>
      <c r="F321" s="5">
        <v>16</v>
      </c>
      <c r="G321" s="6">
        <v>15.05</v>
      </c>
      <c r="H321" s="5">
        <v>17</v>
      </c>
      <c r="I321" s="6">
        <v>16.45</v>
      </c>
      <c r="J321" s="5">
        <v>20</v>
      </c>
      <c r="K321" s="6">
        <v>18.45</v>
      </c>
      <c r="L321" s="5">
        <v>16</v>
      </c>
      <c r="M321" s="6">
        <v>14.9</v>
      </c>
      <c r="N321" s="5">
        <v>17</v>
      </c>
      <c r="O321" s="6">
        <v>13.9</v>
      </c>
      <c r="P321" s="5">
        <v>18</v>
      </c>
      <c r="Q321" s="6">
        <v>14.9</v>
      </c>
      <c r="R321" s="5">
        <v>28</v>
      </c>
      <c r="S321" s="6">
        <v>25.35</v>
      </c>
      <c r="T321" s="5">
        <v>29</v>
      </c>
      <c r="U321" s="6">
        <v>25.2</v>
      </c>
      <c r="V321" s="5">
        <v>29</v>
      </c>
      <c r="W321" s="6">
        <v>26.2</v>
      </c>
      <c r="X321" s="6">
        <f t="shared" si="9"/>
        <v>20.7</v>
      </c>
      <c r="Y321" s="6">
        <f t="shared" si="9"/>
        <v>18.52</v>
      </c>
    </row>
    <row r="322" spans="1:25" x14ac:dyDescent="0.25">
      <c r="A322" s="2" t="s">
        <v>392</v>
      </c>
      <c r="B322" s="2" t="s">
        <v>393</v>
      </c>
      <c r="C322" s="2" t="s">
        <v>394</v>
      </c>
      <c r="D322" s="5">
        <v>11</v>
      </c>
      <c r="E322" s="6">
        <v>8.32</v>
      </c>
      <c r="F322" s="5">
        <v>13</v>
      </c>
      <c r="G322" s="6">
        <v>9.64</v>
      </c>
      <c r="H322" s="5">
        <v>18</v>
      </c>
      <c r="I322" s="6">
        <v>14.3</v>
      </c>
      <c r="J322" s="5">
        <v>21</v>
      </c>
      <c r="K322" s="6">
        <v>17.46</v>
      </c>
      <c r="L322" s="5">
        <v>23</v>
      </c>
      <c r="M322" s="6">
        <v>20.65</v>
      </c>
      <c r="N322" s="5">
        <v>21</v>
      </c>
      <c r="O322" s="6">
        <v>17.48</v>
      </c>
      <c r="P322" s="5">
        <v>21</v>
      </c>
      <c r="Q322" s="6">
        <v>17.48</v>
      </c>
      <c r="R322" s="5">
        <v>25</v>
      </c>
      <c r="S322" s="6">
        <v>21.31</v>
      </c>
      <c r="T322" s="5">
        <v>32</v>
      </c>
      <c r="U322" s="6">
        <v>26.61</v>
      </c>
      <c r="V322" s="5">
        <v>33</v>
      </c>
      <c r="W322" s="6">
        <v>27.96</v>
      </c>
      <c r="X322" s="6">
        <f t="shared" si="9"/>
        <v>21.8</v>
      </c>
      <c r="Y322" s="6">
        <f t="shared" si="9"/>
        <v>18.12</v>
      </c>
    </row>
    <row r="323" spans="1:25" x14ac:dyDescent="0.25">
      <c r="A323" s="2" t="s">
        <v>282</v>
      </c>
      <c r="B323" s="2" t="s">
        <v>283</v>
      </c>
      <c r="C323" s="2" t="s">
        <v>284</v>
      </c>
      <c r="D323" s="5">
        <v>32</v>
      </c>
      <c r="E323" s="6">
        <v>30.2</v>
      </c>
      <c r="F323" s="5">
        <v>37</v>
      </c>
      <c r="G323" s="6">
        <v>34.47</v>
      </c>
      <c r="H323" s="5">
        <v>37</v>
      </c>
      <c r="I323" s="6">
        <v>34.47</v>
      </c>
      <c r="J323" s="5">
        <v>38</v>
      </c>
      <c r="K323" s="6">
        <v>35.18</v>
      </c>
      <c r="L323" s="5">
        <v>38</v>
      </c>
      <c r="M323" s="6">
        <v>35.31</v>
      </c>
      <c r="N323" s="5">
        <v>38</v>
      </c>
      <c r="O323" s="6">
        <v>34.06</v>
      </c>
      <c r="P323" s="5">
        <v>38</v>
      </c>
      <c r="Q323" s="6">
        <v>34.56</v>
      </c>
      <c r="R323" s="5">
        <v>36</v>
      </c>
      <c r="S323" s="6">
        <v>33.89</v>
      </c>
      <c r="T323" s="5">
        <v>35</v>
      </c>
      <c r="U323" s="6">
        <v>32.18</v>
      </c>
      <c r="V323" s="5">
        <v>30</v>
      </c>
      <c r="W323" s="6">
        <v>27.18</v>
      </c>
      <c r="X323" s="6">
        <f t="shared" si="9"/>
        <v>35.9</v>
      </c>
      <c r="Y323" s="6">
        <f t="shared" si="9"/>
        <v>33.15</v>
      </c>
    </row>
    <row r="324" spans="1:25" x14ac:dyDescent="0.25">
      <c r="A324" s="2" t="s">
        <v>290</v>
      </c>
      <c r="B324" s="2" t="s">
        <v>291</v>
      </c>
      <c r="C324" s="2" t="s">
        <v>292</v>
      </c>
      <c r="D324" s="5">
        <v>18</v>
      </c>
      <c r="E324" s="6">
        <v>18</v>
      </c>
      <c r="F324" s="5">
        <v>16</v>
      </c>
      <c r="G324" s="6">
        <v>16</v>
      </c>
      <c r="H324" s="5">
        <v>16</v>
      </c>
      <c r="I324" s="6">
        <v>16</v>
      </c>
      <c r="J324" s="5">
        <v>22</v>
      </c>
      <c r="K324" s="6">
        <v>22</v>
      </c>
      <c r="L324" s="5">
        <v>22</v>
      </c>
      <c r="M324" s="6">
        <v>22</v>
      </c>
      <c r="N324" s="5">
        <v>22</v>
      </c>
      <c r="O324" s="6">
        <v>22</v>
      </c>
      <c r="P324" s="5">
        <v>26</v>
      </c>
      <c r="Q324" s="6">
        <v>26</v>
      </c>
      <c r="R324" s="5">
        <v>27</v>
      </c>
      <c r="S324" s="6">
        <v>27</v>
      </c>
      <c r="T324" s="5">
        <v>27</v>
      </c>
      <c r="U324" s="6">
        <v>27</v>
      </c>
      <c r="V324" s="5">
        <v>33</v>
      </c>
      <c r="W324" s="6">
        <v>33</v>
      </c>
      <c r="X324" s="6">
        <f t="shared" si="9"/>
        <v>22.9</v>
      </c>
      <c r="Y324" s="6">
        <f t="shared" si="9"/>
        <v>22.9</v>
      </c>
    </row>
    <row r="325" spans="1:25" x14ac:dyDescent="0.25">
      <c r="A325" s="2" t="s">
        <v>107</v>
      </c>
      <c r="B325" s="2" t="s">
        <v>108</v>
      </c>
      <c r="C325" s="2" t="s">
        <v>109</v>
      </c>
      <c r="D325" s="5">
        <v>43</v>
      </c>
      <c r="E325" s="6">
        <v>40.04</v>
      </c>
      <c r="F325" s="5">
        <v>43</v>
      </c>
      <c r="G325" s="6">
        <v>39.72</v>
      </c>
      <c r="H325" s="5">
        <v>41</v>
      </c>
      <c r="I325" s="6">
        <v>37.72</v>
      </c>
      <c r="J325" s="5">
        <v>41</v>
      </c>
      <c r="K325" s="6">
        <v>37.72</v>
      </c>
      <c r="L325" s="5">
        <v>40</v>
      </c>
      <c r="M325" s="6">
        <v>36.47</v>
      </c>
      <c r="N325" s="5">
        <v>42</v>
      </c>
      <c r="O325" s="6">
        <v>36.67</v>
      </c>
      <c r="P325" s="5">
        <v>44</v>
      </c>
      <c r="Q325" s="6">
        <v>38.67</v>
      </c>
      <c r="R325" s="5">
        <v>49</v>
      </c>
      <c r="S325" s="6">
        <v>43.67</v>
      </c>
      <c r="T325" s="5">
        <v>50</v>
      </c>
      <c r="U325" s="6">
        <v>44.27</v>
      </c>
      <c r="V325" s="5">
        <v>50</v>
      </c>
      <c r="W325" s="6">
        <v>44.27</v>
      </c>
      <c r="X325" s="6">
        <f t="shared" si="9"/>
        <v>44.3</v>
      </c>
      <c r="Y325" s="6">
        <f t="shared" si="9"/>
        <v>39.92</v>
      </c>
    </row>
    <row r="326" spans="1:25" x14ac:dyDescent="0.25">
      <c r="A326" s="2" t="s">
        <v>107</v>
      </c>
      <c r="B326" s="2" t="s">
        <v>108</v>
      </c>
      <c r="C326" s="2" t="s">
        <v>110</v>
      </c>
      <c r="D326" s="5">
        <v>83</v>
      </c>
      <c r="E326" s="6">
        <v>77.67</v>
      </c>
      <c r="F326" s="5">
        <v>95</v>
      </c>
      <c r="G326" s="6">
        <v>86.65</v>
      </c>
      <c r="H326" s="5">
        <v>100</v>
      </c>
      <c r="I326" s="6">
        <v>91.52</v>
      </c>
      <c r="J326" s="5">
        <v>97</v>
      </c>
      <c r="K326" s="6">
        <v>88.18</v>
      </c>
      <c r="L326" s="5">
        <v>95</v>
      </c>
      <c r="M326" s="6">
        <v>86.5</v>
      </c>
      <c r="N326" s="5">
        <v>90</v>
      </c>
      <c r="O326" s="6">
        <v>81.149999999999991</v>
      </c>
      <c r="P326" s="5">
        <v>97</v>
      </c>
      <c r="Q326" s="6">
        <v>87.2</v>
      </c>
      <c r="R326" s="5">
        <v>114</v>
      </c>
      <c r="S326" s="6">
        <v>102.55000000000001</v>
      </c>
      <c r="T326" s="5">
        <v>108</v>
      </c>
      <c r="U326" s="6">
        <v>96.38</v>
      </c>
      <c r="V326" s="5">
        <v>84</v>
      </c>
      <c r="W326" s="6">
        <v>74.900000000000006</v>
      </c>
      <c r="X326" s="6">
        <f t="shared" si="9"/>
        <v>96.3</v>
      </c>
      <c r="Y326" s="6">
        <f t="shared" si="9"/>
        <v>87.27</v>
      </c>
    </row>
    <row r="327" spans="1:25" x14ac:dyDescent="0.25">
      <c r="A327" s="2" t="s">
        <v>696</v>
      </c>
      <c r="B327" s="2" t="s">
        <v>697</v>
      </c>
      <c r="C327" s="2" t="s">
        <v>618</v>
      </c>
      <c r="D327" s="5">
        <v>41</v>
      </c>
      <c r="E327" s="6">
        <v>16.2</v>
      </c>
      <c r="F327" s="5">
        <v>78</v>
      </c>
      <c r="G327" s="6">
        <v>17.2</v>
      </c>
      <c r="H327" s="5">
        <v>85</v>
      </c>
      <c r="I327" s="6">
        <v>18.399999999999999</v>
      </c>
      <c r="J327" s="5">
        <v>89</v>
      </c>
      <c r="K327" s="6">
        <v>19.2</v>
      </c>
      <c r="L327" s="5">
        <v>88</v>
      </c>
      <c r="M327" s="6">
        <v>19</v>
      </c>
      <c r="N327" s="5">
        <v>89</v>
      </c>
      <c r="O327" s="6">
        <v>31.2</v>
      </c>
      <c r="P327" s="5">
        <v>110</v>
      </c>
      <c r="Q327" s="6">
        <v>40.20000000000001</v>
      </c>
      <c r="R327" s="5">
        <v>109</v>
      </c>
      <c r="S327" s="6">
        <v>41.2</v>
      </c>
      <c r="T327" s="5">
        <v>98</v>
      </c>
      <c r="U327" s="6">
        <v>36.800000000000004</v>
      </c>
      <c r="V327" s="5">
        <v>68</v>
      </c>
      <c r="W327" s="6">
        <v>32.200000000000003</v>
      </c>
      <c r="X327" s="6">
        <f t="shared" si="9"/>
        <v>85.5</v>
      </c>
      <c r="Y327" s="6">
        <f t="shared" si="9"/>
        <v>27.16</v>
      </c>
    </row>
    <row r="328" spans="1:25" x14ac:dyDescent="0.25">
      <c r="A328" s="2" t="s">
        <v>696</v>
      </c>
      <c r="B328" s="2" t="s">
        <v>697</v>
      </c>
      <c r="C328" s="2" t="s">
        <v>619</v>
      </c>
      <c r="D328" s="5">
        <v>119</v>
      </c>
      <c r="E328" s="6">
        <v>119</v>
      </c>
      <c r="F328" s="5">
        <v>130</v>
      </c>
      <c r="G328" s="6">
        <v>128.56</v>
      </c>
      <c r="H328" s="5">
        <v>154</v>
      </c>
      <c r="I328" s="6">
        <v>152.72</v>
      </c>
      <c r="J328" s="5">
        <v>182</v>
      </c>
      <c r="K328" s="6">
        <v>180.94</v>
      </c>
      <c r="L328" s="5">
        <v>193</v>
      </c>
      <c r="M328" s="6">
        <v>191.94</v>
      </c>
      <c r="N328" s="5">
        <v>205</v>
      </c>
      <c r="O328" s="6">
        <v>202.93</v>
      </c>
      <c r="P328" s="5">
        <v>212</v>
      </c>
      <c r="Q328" s="6">
        <v>209.44</v>
      </c>
      <c r="R328" s="5">
        <v>234</v>
      </c>
      <c r="S328" s="6">
        <v>232.44</v>
      </c>
      <c r="T328" s="5">
        <v>263</v>
      </c>
      <c r="U328" s="6">
        <v>261.14999999999998</v>
      </c>
      <c r="V328" s="5">
        <v>276</v>
      </c>
      <c r="W328" s="6">
        <v>274.14999999999998</v>
      </c>
      <c r="X328" s="6">
        <f t="shared" si="9"/>
        <v>196.8</v>
      </c>
      <c r="Y328" s="6">
        <f t="shared" si="9"/>
        <v>195.33</v>
      </c>
    </row>
    <row r="329" spans="1:25" x14ac:dyDescent="0.25">
      <c r="A329" s="2" t="s">
        <v>696</v>
      </c>
      <c r="B329" s="2" t="s">
        <v>697</v>
      </c>
      <c r="C329" s="2" t="s">
        <v>620</v>
      </c>
      <c r="D329" s="5">
        <v>338</v>
      </c>
      <c r="E329" s="6">
        <v>337.47</v>
      </c>
      <c r="F329" s="5">
        <v>315</v>
      </c>
      <c r="G329" s="6">
        <v>313.14000000000004</v>
      </c>
      <c r="H329" s="5">
        <v>328</v>
      </c>
      <c r="I329" s="6">
        <v>325.92</v>
      </c>
      <c r="J329" s="5">
        <v>328</v>
      </c>
      <c r="K329" s="6">
        <v>323.06</v>
      </c>
      <c r="L329" s="5">
        <v>341</v>
      </c>
      <c r="M329" s="6">
        <v>336.38</v>
      </c>
      <c r="N329" s="5">
        <v>376</v>
      </c>
      <c r="O329" s="6">
        <v>371.33</v>
      </c>
      <c r="P329" s="5">
        <v>379</v>
      </c>
      <c r="Q329" s="6">
        <v>375.46</v>
      </c>
      <c r="R329" s="5">
        <v>424</v>
      </c>
      <c r="S329" s="6">
        <v>415.33000000000004</v>
      </c>
      <c r="T329" s="5">
        <v>427</v>
      </c>
      <c r="U329" s="6">
        <v>421.06</v>
      </c>
      <c r="V329" s="5">
        <v>417</v>
      </c>
      <c r="W329" s="6">
        <v>411.06</v>
      </c>
      <c r="X329" s="6">
        <f t="shared" si="9"/>
        <v>367.3</v>
      </c>
      <c r="Y329" s="6">
        <f t="shared" si="9"/>
        <v>363.02</v>
      </c>
    </row>
    <row r="330" spans="1:25" x14ac:dyDescent="0.25">
      <c r="A330" s="2" t="s">
        <v>557</v>
      </c>
      <c r="B330" s="2" t="s">
        <v>558</v>
      </c>
      <c r="C330" s="2" t="s">
        <v>559</v>
      </c>
      <c r="D330" s="5">
        <v>109</v>
      </c>
      <c r="E330" s="6">
        <v>108.32</v>
      </c>
      <c r="F330" s="5">
        <v>118</v>
      </c>
      <c r="G330" s="6">
        <v>116.75</v>
      </c>
      <c r="H330" s="5">
        <v>117</v>
      </c>
      <c r="I330" s="6">
        <v>115.81</v>
      </c>
      <c r="J330" s="5">
        <v>148</v>
      </c>
      <c r="K330" s="6">
        <v>144.38999999999999</v>
      </c>
      <c r="L330" s="5">
        <v>141</v>
      </c>
      <c r="M330" s="6">
        <v>137.05000000000001</v>
      </c>
      <c r="N330" s="5">
        <v>137</v>
      </c>
      <c r="O330" s="6">
        <v>132.33000000000001</v>
      </c>
      <c r="P330" s="5">
        <v>135</v>
      </c>
      <c r="Q330" s="6">
        <v>131.33000000000001</v>
      </c>
      <c r="R330" s="5">
        <v>138</v>
      </c>
      <c r="S330" s="6">
        <v>133.5</v>
      </c>
      <c r="T330" s="5">
        <v>137</v>
      </c>
      <c r="U330" s="6">
        <v>132.5</v>
      </c>
      <c r="V330" s="5">
        <v>128</v>
      </c>
      <c r="W330" s="6">
        <v>123.5</v>
      </c>
      <c r="X330" s="6">
        <f t="shared" si="9"/>
        <v>130.80000000000001</v>
      </c>
      <c r="Y330" s="6">
        <f t="shared" si="9"/>
        <v>127.55</v>
      </c>
    </row>
    <row r="331" spans="1:25" x14ac:dyDescent="0.25">
      <c r="D331" s="5"/>
      <c r="E331" s="6"/>
    </row>
    <row r="332" spans="1:25" x14ac:dyDescent="0.25">
      <c r="D332" s="5"/>
      <c r="E332" s="6"/>
    </row>
    <row r="333" spans="1:25" x14ac:dyDescent="0.25">
      <c r="D333" s="5"/>
      <c r="E333" s="6"/>
    </row>
    <row r="334" spans="1:25" x14ac:dyDescent="0.25">
      <c r="D334" s="5"/>
      <c r="E334" s="6"/>
    </row>
    <row r="335" spans="1:25" x14ac:dyDescent="0.25">
      <c r="D335" s="5"/>
      <c r="E335" s="6"/>
    </row>
    <row r="336" spans="1:25" x14ac:dyDescent="0.25">
      <c r="D336" s="5"/>
      <c r="E336" s="6"/>
    </row>
    <row r="337" spans="4:5" x14ac:dyDescent="0.25">
      <c r="D337" s="5"/>
      <c r="E337" s="6"/>
    </row>
    <row r="338" spans="4:5" x14ac:dyDescent="0.25">
      <c r="D338" s="5"/>
      <c r="E338" s="6"/>
    </row>
    <row r="339" spans="4:5" x14ac:dyDescent="0.25">
      <c r="D339" s="5"/>
      <c r="E339" s="6"/>
    </row>
    <row r="340" spans="4:5" x14ac:dyDescent="0.25">
      <c r="D340" s="5"/>
      <c r="E340" s="6"/>
    </row>
    <row r="341" spans="4:5" x14ac:dyDescent="0.25">
      <c r="D341" s="5"/>
      <c r="E341" s="6"/>
    </row>
    <row r="342" spans="4:5" x14ac:dyDescent="0.25">
      <c r="D342" s="5"/>
      <c r="E342" s="6"/>
    </row>
    <row r="343" spans="4:5" x14ac:dyDescent="0.25">
      <c r="D343" s="5"/>
      <c r="E343" s="6"/>
    </row>
    <row r="344" spans="4:5" x14ac:dyDescent="0.25">
      <c r="D344" s="5"/>
      <c r="E344" s="6"/>
    </row>
    <row r="345" spans="4:5" x14ac:dyDescent="0.25">
      <c r="D345" s="5"/>
      <c r="E345" s="6"/>
    </row>
    <row r="346" spans="4:5" x14ac:dyDescent="0.25">
      <c r="D346" s="5"/>
      <c r="E346" s="6"/>
    </row>
    <row r="347" spans="4:5" x14ac:dyDescent="0.25">
      <c r="D347" s="5"/>
      <c r="E347" s="6"/>
    </row>
    <row r="348" spans="4:5" x14ac:dyDescent="0.25">
      <c r="D348" s="5"/>
      <c r="E348" s="6"/>
    </row>
    <row r="349" spans="4:5" x14ac:dyDescent="0.25">
      <c r="D349" s="5"/>
      <c r="E349" s="6"/>
    </row>
    <row r="350" spans="4:5" x14ac:dyDescent="0.25">
      <c r="D350" s="5"/>
      <c r="E350" s="6"/>
    </row>
    <row r="351" spans="4:5" x14ac:dyDescent="0.25">
      <c r="D351" s="5"/>
      <c r="E351" s="6"/>
    </row>
    <row r="352" spans="4:5" x14ac:dyDescent="0.25">
      <c r="D352" s="5"/>
      <c r="E352" s="6"/>
    </row>
    <row r="353" spans="4:5" x14ac:dyDescent="0.25">
      <c r="D353" s="5"/>
      <c r="E353" s="6"/>
    </row>
    <row r="354" spans="4:5" x14ac:dyDescent="0.25">
      <c r="D354" s="5"/>
      <c r="E354" s="6"/>
    </row>
    <row r="355" spans="4:5" x14ac:dyDescent="0.25">
      <c r="D355" s="5"/>
      <c r="E355" s="6"/>
    </row>
    <row r="356" spans="4:5" x14ac:dyDescent="0.25">
      <c r="D356" s="5"/>
      <c r="E356" s="6"/>
    </row>
    <row r="357" spans="4:5" x14ac:dyDescent="0.25">
      <c r="D357" s="5"/>
      <c r="E357" s="6"/>
    </row>
    <row r="358" spans="4:5" x14ac:dyDescent="0.25">
      <c r="D358" s="5"/>
      <c r="E358" s="6"/>
    </row>
    <row r="359" spans="4:5" x14ac:dyDescent="0.25">
      <c r="D359" s="5"/>
      <c r="E359" s="6"/>
    </row>
    <row r="360" spans="4:5" x14ac:dyDescent="0.25">
      <c r="D360" s="5"/>
      <c r="E360" s="6"/>
    </row>
    <row r="361" spans="4:5" x14ac:dyDescent="0.25">
      <c r="D361" s="5"/>
      <c r="E361" s="6"/>
    </row>
    <row r="362" spans="4:5" x14ac:dyDescent="0.25">
      <c r="D362" s="5"/>
      <c r="E362" s="6"/>
    </row>
    <row r="363" spans="4:5" x14ac:dyDescent="0.25">
      <c r="D363" s="5"/>
      <c r="E363" s="6"/>
    </row>
    <row r="364" spans="4:5" x14ac:dyDescent="0.25">
      <c r="D364" s="5"/>
      <c r="E364" s="6"/>
    </row>
    <row r="365" spans="4:5" x14ac:dyDescent="0.25">
      <c r="D365" s="5"/>
      <c r="E365" s="6"/>
    </row>
    <row r="366" spans="4:5" x14ac:dyDescent="0.25">
      <c r="D366" s="5"/>
      <c r="E366" s="6"/>
    </row>
    <row r="367" spans="4:5" x14ac:dyDescent="0.25">
      <c r="D367" s="5"/>
      <c r="E367" s="6"/>
    </row>
    <row r="368" spans="4:5" x14ac:dyDescent="0.25">
      <c r="D368" s="5"/>
      <c r="E368" s="6"/>
    </row>
    <row r="369" spans="4:5" x14ac:dyDescent="0.25">
      <c r="D369" s="5"/>
      <c r="E369" s="6"/>
    </row>
    <row r="370" spans="4:5" x14ac:dyDescent="0.25">
      <c r="D370" s="5"/>
      <c r="E370" s="6"/>
    </row>
    <row r="371" spans="4:5" x14ac:dyDescent="0.25">
      <c r="D371" s="5"/>
      <c r="E371" s="6"/>
    </row>
    <row r="372" spans="4:5" x14ac:dyDescent="0.25">
      <c r="D372" s="5"/>
      <c r="E372" s="6"/>
    </row>
    <row r="373" spans="4:5" x14ac:dyDescent="0.25">
      <c r="D373" s="5"/>
      <c r="E373" s="6"/>
    </row>
    <row r="374" spans="4:5" x14ac:dyDescent="0.25">
      <c r="D374" s="5"/>
      <c r="E374" s="6"/>
    </row>
    <row r="375" spans="4:5" x14ac:dyDescent="0.25">
      <c r="D375" s="5"/>
      <c r="E375" s="6"/>
    </row>
    <row r="376" spans="4:5" x14ac:dyDescent="0.25">
      <c r="D376" s="5"/>
      <c r="E376" s="6"/>
    </row>
    <row r="377" spans="4:5" x14ac:dyDescent="0.25">
      <c r="D377" s="5"/>
      <c r="E377" s="6"/>
    </row>
    <row r="378" spans="4:5" x14ac:dyDescent="0.25">
      <c r="D378" s="5"/>
      <c r="E378" s="6"/>
    </row>
    <row r="379" spans="4:5" x14ac:dyDescent="0.25">
      <c r="D379" s="5"/>
      <c r="E379" s="6"/>
    </row>
    <row r="380" spans="4:5" x14ac:dyDescent="0.25">
      <c r="D380" s="5"/>
      <c r="E380" s="6"/>
    </row>
    <row r="381" spans="4:5" x14ac:dyDescent="0.25">
      <c r="D381" s="5"/>
      <c r="E381" s="6"/>
    </row>
    <row r="382" spans="4:5" x14ac:dyDescent="0.25">
      <c r="D382" s="5"/>
      <c r="E382" s="6"/>
    </row>
    <row r="383" spans="4:5" x14ac:dyDescent="0.25">
      <c r="D383" s="5"/>
      <c r="E383" s="6"/>
    </row>
    <row r="384" spans="4:5" x14ac:dyDescent="0.25">
      <c r="D384" s="5"/>
      <c r="E384" s="6"/>
    </row>
    <row r="385" spans="4:5" x14ac:dyDescent="0.25">
      <c r="D385" s="5"/>
      <c r="E385" s="6"/>
    </row>
    <row r="386" spans="4:5" x14ac:dyDescent="0.25">
      <c r="D386" s="5"/>
      <c r="E386" s="6"/>
    </row>
    <row r="387" spans="4:5" x14ac:dyDescent="0.25">
      <c r="D387" s="5"/>
      <c r="E387" s="6"/>
    </row>
    <row r="388" spans="4:5" x14ac:dyDescent="0.25">
      <c r="D388" s="5"/>
      <c r="E388" s="6"/>
    </row>
    <row r="389" spans="4:5" x14ac:dyDescent="0.25">
      <c r="D389" s="5"/>
      <c r="E389" s="6"/>
    </row>
    <row r="390" spans="4:5" x14ac:dyDescent="0.25">
      <c r="D390" s="5"/>
      <c r="E390" s="6"/>
    </row>
    <row r="391" spans="4:5" x14ac:dyDescent="0.25">
      <c r="D391" s="5"/>
      <c r="E391" s="6"/>
    </row>
    <row r="392" spans="4:5" x14ac:dyDescent="0.25">
      <c r="D392" s="5"/>
      <c r="E392" s="6"/>
    </row>
    <row r="393" spans="4:5" x14ac:dyDescent="0.25">
      <c r="D393" s="5"/>
      <c r="E393" s="6"/>
    </row>
    <row r="394" spans="4:5" x14ac:dyDescent="0.25">
      <c r="D394" s="5"/>
      <c r="E394" s="6"/>
    </row>
    <row r="395" spans="4:5" x14ac:dyDescent="0.25">
      <c r="D395" s="5"/>
      <c r="E395" s="6"/>
    </row>
    <row r="396" spans="4:5" x14ac:dyDescent="0.25">
      <c r="D396" s="5"/>
      <c r="E396" s="6"/>
    </row>
    <row r="397" spans="4:5" x14ac:dyDescent="0.25">
      <c r="D397" s="5"/>
      <c r="E397" s="6"/>
    </row>
    <row r="398" spans="4:5" x14ac:dyDescent="0.25">
      <c r="D398" s="5"/>
      <c r="E398" s="6"/>
    </row>
    <row r="399" spans="4:5" x14ac:dyDescent="0.25">
      <c r="D399" s="5"/>
      <c r="E399" s="6"/>
    </row>
    <row r="400" spans="4:5" x14ac:dyDescent="0.25">
      <c r="D400" s="5"/>
      <c r="E400" s="6"/>
    </row>
    <row r="401" spans="4:5" x14ac:dyDescent="0.25">
      <c r="D401" s="5"/>
      <c r="E401" s="6"/>
    </row>
    <row r="402" spans="4:5" x14ac:dyDescent="0.25">
      <c r="D402" s="5"/>
      <c r="E402" s="6"/>
    </row>
    <row r="403" spans="4:5" x14ac:dyDescent="0.25">
      <c r="D403" s="5"/>
      <c r="E403" s="6"/>
    </row>
    <row r="404" spans="4:5" x14ac:dyDescent="0.25">
      <c r="D404" s="5"/>
      <c r="E404" s="6"/>
    </row>
    <row r="405" spans="4:5" x14ac:dyDescent="0.25">
      <c r="D405" s="5"/>
      <c r="E405" s="6"/>
    </row>
    <row r="406" spans="4:5" x14ac:dyDescent="0.25">
      <c r="D406" s="5"/>
      <c r="E406" s="6"/>
    </row>
    <row r="407" spans="4:5" x14ac:dyDescent="0.25">
      <c r="D407" s="5"/>
      <c r="E407" s="6"/>
    </row>
    <row r="408" spans="4:5" x14ac:dyDescent="0.25">
      <c r="D408" s="5"/>
      <c r="E408" s="6"/>
    </row>
    <row r="409" spans="4:5" x14ac:dyDescent="0.25">
      <c r="D409" s="5"/>
      <c r="E409" s="6"/>
    </row>
    <row r="410" spans="4:5" x14ac:dyDescent="0.25">
      <c r="D410" s="5"/>
      <c r="E410" s="6"/>
    </row>
    <row r="411" spans="4:5" x14ac:dyDescent="0.25">
      <c r="D411" s="5"/>
      <c r="E411" s="6"/>
    </row>
    <row r="412" spans="4:5" x14ac:dyDescent="0.25">
      <c r="D412" s="5"/>
      <c r="E412" s="6"/>
    </row>
    <row r="413" spans="4:5" x14ac:dyDescent="0.25">
      <c r="D413" s="5"/>
      <c r="E413" s="6"/>
    </row>
    <row r="414" spans="4:5" x14ac:dyDescent="0.25">
      <c r="D414" s="5"/>
      <c r="E414" s="6"/>
    </row>
    <row r="415" spans="4:5" x14ac:dyDescent="0.25">
      <c r="D415" s="5"/>
      <c r="E415" s="6"/>
    </row>
    <row r="416" spans="4:5" x14ac:dyDescent="0.25">
      <c r="D416" s="5"/>
      <c r="E416" s="6"/>
    </row>
    <row r="417" spans="4:5" x14ac:dyDescent="0.25">
      <c r="D417" s="5"/>
      <c r="E417" s="6"/>
    </row>
    <row r="418" spans="4:5" x14ac:dyDescent="0.25">
      <c r="D418" s="5"/>
      <c r="E418" s="6"/>
    </row>
    <row r="419" spans="4:5" x14ac:dyDescent="0.25">
      <c r="D419" s="5"/>
      <c r="E419" s="6"/>
    </row>
    <row r="420" spans="4:5" x14ac:dyDescent="0.25">
      <c r="D420" s="5"/>
      <c r="E420" s="6"/>
    </row>
    <row r="421" spans="4:5" x14ac:dyDescent="0.25">
      <c r="D421" s="5"/>
      <c r="E421" s="6"/>
    </row>
    <row r="422" spans="4:5" x14ac:dyDescent="0.25">
      <c r="D422" s="5"/>
      <c r="E422" s="6"/>
    </row>
    <row r="423" spans="4:5" x14ac:dyDescent="0.25">
      <c r="D423" s="5"/>
      <c r="E423" s="6"/>
    </row>
    <row r="424" spans="4:5" x14ac:dyDescent="0.25">
      <c r="D424" s="5"/>
      <c r="E424" s="6"/>
    </row>
    <row r="425" spans="4:5" x14ac:dyDescent="0.25">
      <c r="D425" s="5"/>
      <c r="E425" s="6"/>
    </row>
    <row r="426" spans="4:5" x14ac:dyDescent="0.25">
      <c r="D426" s="5"/>
      <c r="E426" s="6"/>
    </row>
    <row r="427" spans="4:5" x14ac:dyDescent="0.25">
      <c r="D427" s="5"/>
      <c r="E427" s="6"/>
    </row>
    <row r="428" spans="4:5" x14ac:dyDescent="0.25">
      <c r="D428" s="5"/>
      <c r="E428" s="6"/>
    </row>
    <row r="429" spans="4:5" x14ac:dyDescent="0.25">
      <c r="D429" s="5"/>
      <c r="E429" s="6"/>
    </row>
    <row r="430" spans="4:5" x14ac:dyDescent="0.25">
      <c r="D430" s="5"/>
      <c r="E430" s="6"/>
    </row>
    <row r="431" spans="4:5" x14ac:dyDescent="0.25">
      <c r="D431" s="5"/>
      <c r="E431" s="6"/>
    </row>
    <row r="432" spans="4:5" x14ac:dyDescent="0.25">
      <c r="D432" s="5"/>
      <c r="E432" s="6"/>
    </row>
    <row r="433" spans="4:5" x14ac:dyDescent="0.25">
      <c r="D433" s="5"/>
      <c r="E433" s="6"/>
    </row>
    <row r="434" spans="4:5" x14ac:dyDescent="0.25">
      <c r="D434" s="5"/>
      <c r="E434" s="6"/>
    </row>
    <row r="435" spans="4:5" x14ac:dyDescent="0.25">
      <c r="D435" s="5"/>
      <c r="E435" s="6"/>
    </row>
    <row r="436" spans="4:5" x14ac:dyDescent="0.25">
      <c r="D436" s="5"/>
      <c r="E436" s="6"/>
    </row>
    <row r="437" spans="4:5" x14ac:dyDescent="0.25">
      <c r="D437" s="5"/>
      <c r="E437" s="6"/>
    </row>
    <row r="438" spans="4:5" x14ac:dyDescent="0.25">
      <c r="D438" s="5"/>
      <c r="E438" s="6"/>
    </row>
    <row r="439" spans="4:5" x14ac:dyDescent="0.25">
      <c r="D439" s="5"/>
      <c r="E439" s="6"/>
    </row>
    <row r="440" spans="4:5" x14ac:dyDescent="0.25">
      <c r="D440" s="5"/>
      <c r="E440" s="6"/>
    </row>
    <row r="441" spans="4:5" x14ac:dyDescent="0.25">
      <c r="D441" s="5"/>
      <c r="E441" s="6"/>
    </row>
    <row r="442" spans="4:5" x14ac:dyDescent="0.25">
      <c r="D442" s="5"/>
      <c r="E442" s="6"/>
    </row>
    <row r="443" spans="4:5" x14ac:dyDescent="0.25">
      <c r="D443" s="5"/>
      <c r="E443" s="6"/>
    </row>
    <row r="444" spans="4:5" x14ac:dyDescent="0.25">
      <c r="D444" s="5"/>
      <c r="E444" s="6"/>
    </row>
    <row r="445" spans="4:5" x14ac:dyDescent="0.25">
      <c r="D445" s="5"/>
      <c r="E445" s="6"/>
    </row>
    <row r="446" spans="4:5" x14ac:dyDescent="0.25">
      <c r="D446" s="5"/>
      <c r="E446" s="6"/>
    </row>
    <row r="447" spans="4:5" x14ac:dyDescent="0.25">
      <c r="D447" s="5"/>
      <c r="E447" s="6"/>
    </row>
    <row r="448" spans="4:5" x14ac:dyDescent="0.25">
      <c r="D448" s="5"/>
      <c r="E448" s="6"/>
    </row>
    <row r="449" spans="4:5" x14ac:dyDescent="0.25">
      <c r="D449" s="5"/>
      <c r="E449" s="6"/>
    </row>
    <row r="450" spans="4:5" x14ac:dyDescent="0.25">
      <c r="D450" s="5"/>
      <c r="E450" s="6"/>
    </row>
    <row r="451" spans="4:5" x14ac:dyDescent="0.25">
      <c r="D451" s="5"/>
      <c r="E451" s="6"/>
    </row>
    <row r="452" spans="4:5" x14ac:dyDescent="0.25">
      <c r="D452" s="5"/>
      <c r="E452" s="6"/>
    </row>
    <row r="453" spans="4:5" x14ac:dyDescent="0.25">
      <c r="D453" s="5"/>
      <c r="E453" s="6"/>
    </row>
    <row r="454" spans="4:5" x14ac:dyDescent="0.25">
      <c r="D454" s="5"/>
      <c r="E454" s="6"/>
    </row>
    <row r="455" spans="4:5" x14ac:dyDescent="0.25">
      <c r="D455" s="5"/>
      <c r="E455" s="6"/>
    </row>
    <row r="456" spans="4:5" x14ac:dyDescent="0.25">
      <c r="D456" s="5"/>
      <c r="E456" s="6"/>
    </row>
    <row r="457" spans="4:5" x14ac:dyDescent="0.25">
      <c r="D457" s="5"/>
      <c r="E457" s="6"/>
    </row>
    <row r="458" spans="4:5" x14ac:dyDescent="0.25">
      <c r="D458" s="5"/>
      <c r="E458" s="6"/>
    </row>
    <row r="459" spans="4:5" x14ac:dyDescent="0.25">
      <c r="D459" s="5"/>
      <c r="E459" s="6"/>
    </row>
    <row r="460" spans="4:5" x14ac:dyDescent="0.25">
      <c r="D460" s="5"/>
      <c r="E460" s="6"/>
    </row>
    <row r="461" spans="4:5" x14ac:dyDescent="0.25">
      <c r="D461" s="5"/>
      <c r="E461" s="6"/>
    </row>
    <row r="462" spans="4:5" x14ac:dyDescent="0.25">
      <c r="D462" s="5"/>
      <c r="E462" s="6"/>
    </row>
    <row r="463" spans="4:5" x14ac:dyDescent="0.25">
      <c r="D463" s="5"/>
      <c r="E463" s="6"/>
    </row>
    <row r="464" spans="4:5" x14ac:dyDescent="0.25">
      <c r="D464" s="5"/>
      <c r="E464" s="6"/>
    </row>
    <row r="465" spans="4:5" x14ac:dyDescent="0.25">
      <c r="D465" s="5"/>
      <c r="E465" s="6"/>
    </row>
    <row r="466" spans="4:5" x14ac:dyDescent="0.25">
      <c r="D466" s="5"/>
      <c r="E466" s="6"/>
    </row>
    <row r="467" spans="4:5" x14ac:dyDescent="0.25">
      <c r="D467" s="5"/>
      <c r="E467" s="6"/>
    </row>
    <row r="468" spans="4:5" x14ac:dyDescent="0.25">
      <c r="D468" s="5"/>
      <c r="E468" s="6"/>
    </row>
    <row r="469" spans="4:5" x14ac:dyDescent="0.25">
      <c r="D469" s="5"/>
      <c r="E469" s="6"/>
    </row>
    <row r="470" spans="4:5" x14ac:dyDescent="0.25">
      <c r="D470" s="5"/>
      <c r="E470" s="6"/>
    </row>
    <row r="471" spans="4:5" x14ac:dyDescent="0.25">
      <c r="D471" s="5"/>
      <c r="E471" s="6"/>
    </row>
    <row r="472" spans="4:5" x14ac:dyDescent="0.25">
      <c r="D472" s="5"/>
      <c r="E472" s="6"/>
    </row>
    <row r="473" spans="4:5" x14ac:dyDescent="0.25">
      <c r="D473" s="5"/>
      <c r="E473" s="6"/>
    </row>
    <row r="474" spans="4:5" x14ac:dyDescent="0.25">
      <c r="D474" s="5"/>
      <c r="E474" s="6"/>
    </row>
    <row r="475" spans="4:5" x14ac:dyDescent="0.25">
      <c r="D475" s="5"/>
      <c r="E475" s="6"/>
    </row>
    <row r="476" spans="4:5" x14ac:dyDescent="0.25">
      <c r="D476" s="5"/>
      <c r="E476" s="6"/>
    </row>
    <row r="477" spans="4:5" x14ac:dyDescent="0.25">
      <c r="D477" s="5"/>
      <c r="E477" s="6"/>
    </row>
    <row r="478" spans="4:5" x14ac:dyDescent="0.25">
      <c r="D478" s="5"/>
      <c r="E478" s="6"/>
    </row>
    <row r="479" spans="4:5" x14ac:dyDescent="0.25">
      <c r="D479" s="5"/>
      <c r="E479" s="6"/>
    </row>
    <row r="480" spans="4:5" x14ac:dyDescent="0.25">
      <c r="D480" s="5"/>
      <c r="E480" s="6"/>
    </row>
    <row r="481" spans="4:5" x14ac:dyDescent="0.25">
      <c r="D481" s="5"/>
      <c r="E481" s="6"/>
    </row>
    <row r="482" spans="4:5" x14ac:dyDescent="0.25">
      <c r="D482" s="5"/>
      <c r="E482" s="6"/>
    </row>
    <row r="483" spans="4:5" x14ac:dyDescent="0.25">
      <c r="D483" s="5"/>
      <c r="E483" s="6"/>
    </row>
    <row r="484" spans="4:5" x14ac:dyDescent="0.25">
      <c r="D484" s="5"/>
      <c r="E484" s="6"/>
    </row>
    <row r="485" spans="4:5" x14ac:dyDescent="0.25">
      <c r="D485" s="5"/>
      <c r="E485" s="6"/>
    </row>
    <row r="486" spans="4:5" x14ac:dyDescent="0.25">
      <c r="D486" s="5"/>
      <c r="E486" s="6"/>
    </row>
    <row r="487" spans="4:5" x14ac:dyDescent="0.25">
      <c r="D487" s="5"/>
      <c r="E487" s="6"/>
    </row>
    <row r="488" spans="4:5" x14ac:dyDescent="0.25">
      <c r="D488" s="5"/>
      <c r="E488" s="6"/>
    </row>
    <row r="489" spans="4:5" x14ac:dyDescent="0.25">
      <c r="D489" s="5"/>
      <c r="E489" s="6"/>
    </row>
    <row r="490" spans="4:5" x14ac:dyDescent="0.25">
      <c r="D490" s="5"/>
      <c r="E490" s="6"/>
    </row>
    <row r="491" spans="4:5" x14ac:dyDescent="0.25">
      <c r="D491" s="5"/>
      <c r="E491" s="6"/>
    </row>
    <row r="492" spans="4:5" x14ac:dyDescent="0.25">
      <c r="D492" s="5"/>
      <c r="E492" s="6"/>
    </row>
    <row r="493" spans="4:5" x14ac:dyDescent="0.25">
      <c r="D493" s="5"/>
      <c r="E493" s="6"/>
    </row>
    <row r="494" spans="4:5" x14ac:dyDescent="0.25">
      <c r="D494" s="5"/>
      <c r="E494" s="6"/>
    </row>
    <row r="495" spans="4:5" x14ac:dyDescent="0.25">
      <c r="D495" s="5"/>
      <c r="E495" s="6"/>
    </row>
    <row r="496" spans="4:5" x14ac:dyDescent="0.25">
      <c r="D496" s="5"/>
      <c r="E496" s="6"/>
    </row>
    <row r="497" spans="4:5" x14ac:dyDescent="0.25">
      <c r="D497" s="5"/>
      <c r="E497" s="6"/>
    </row>
    <row r="498" spans="4:5" x14ac:dyDescent="0.25">
      <c r="D498" s="5"/>
      <c r="E498" s="6"/>
    </row>
    <row r="499" spans="4:5" x14ac:dyDescent="0.25">
      <c r="D499" s="5"/>
      <c r="E499" s="6"/>
    </row>
    <row r="500" spans="4:5" x14ac:dyDescent="0.25">
      <c r="D500" s="5"/>
      <c r="E500" s="6"/>
    </row>
    <row r="501" spans="4:5" x14ac:dyDescent="0.25">
      <c r="D501" s="5"/>
      <c r="E501" s="6"/>
    </row>
    <row r="502" spans="4:5" x14ac:dyDescent="0.25">
      <c r="D502" s="5"/>
      <c r="E502" s="6"/>
    </row>
    <row r="503" spans="4:5" x14ac:dyDescent="0.25">
      <c r="D503" s="5"/>
      <c r="E503" s="6"/>
    </row>
    <row r="504" spans="4:5" x14ac:dyDescent="0.25">
      <c r="D504" s="5"/>
      <c r="E504" s="6"/>
    </row>
    <row r="505" spans="4:5" x14ac:dyDescent="0.25">
      <c r="D505" s="5"/>
      <c r="E505" s="6"/>
    </row>
    <row r="506" spans="4:5" x14ac:dyDescent="0.25">
      <c r="D506" s="5"/>
      <c r="E506" s="6"/>
    </row>
    <row r="507" spans="4:5" x14ac:dyDescent="0.25">
      <c r="D507" s="5"/>
      <c r="E507" s="6"/>
    </row>
    <row r="508" spans="4:5" x14ac:dyDescent="0.25">
      <c r="D508" s="5"/>
      <c r="E508" s="6"/>
    </row>
    <row r="509" spans="4:5" x14ac:dyDescent="0.25">
      <c r="D509" s="5"/>
      <c r="E509" s="6"/>
    </row>
    <row r="510" spans="4:5" x14ac:dyDescent="0.25">
      <c r="D510" s="5"/>
      <c r="E510" s="6"/>
    </row>
    <row r="511" spans="4:5" x14ac:dyDescent="0.25">
      <c r="D511" s="5"/>
      <c r="E511" s="6"/>
    </row>
    <row r="512" spans="4:5" x14ac:dyDescent="0.25">
      <c r="D512" s="5"/>
      <c r="E512" s="6"/>
    </row>
    <row r="513" spans="4:5" x14ac:dyDescent="0.25">
      <c r="D513" s="5"/>
      <c r="E513" s="6"/>
    </row>
    <row r="514" spans="4:5" x14ac:dyDescent="0.25">
      <c r="D514" s="5"/>
      <c r="E514" s="6"/>
    </row>
    <row r="515" spans="4:5" x14ac:dyDescent="0.25">
      <c r="D515" s="5"/>
      <c r="E515" s="6"/>
    </row>
    <row r="516" spans="4:5" x14ac:dyDescent="0.25">
      <c r="D516" s="5"/>
      <c r="E516" s="6"/>
    </row>
    <row r="517" spans="4:5" x14ac:dyDescent="0.25">
      <c r="D517" s="5"/>
      <c r="E517" s="6"/>
    </row>
    <row r="518" spans="4:5" x14ac:dyDescent="0.25">
      <c r="D518" s="5"/>
      <c r="E518" s="6"/>
    </row>
    <row r="519" spans="4:5" x14ac:dyDescent="0.25">
      <c r="D519" s="5"/>
      <c r="E519" s="6"/>
    </row>
    <row r="520" spans="4:5" x14ac:dyDescent="0.25">
      <c r="D520" s="5"/>
      <c r="E520" s="6"/>
    </row>
    <row r="521" spans="4:5" x14ac:dyDescent="0.25">
      <c r="D521" s="5"/>
      <c r="E521" s="6"/>
    </row>
    <row r="522" spans="4:5" x14ac:dyDescent="0.25">
      <c r="D522" s="5"/>
      <c r="E522" s="6"/>
    </row>
    <row r="523" spans="4:5" x14ac:dyDescent="0.25">
      <c r="D523" s="5"/>
      <c r="E523" s="6"/>
    </row>
    <row r="524" spans="4:5" x14ac:dyDescent="0.25">
      <c r="D524" s="5"/>
      <c r="E524" s="6"/>
    </row>
    <row r="525" spans="4:5" x14ac:dyDescent="0.25">
      <c r="D525" s="5"/>
      <c r="E525" s="6"/>
    </row>
    <row r="526" spans="4:5" x14ac:dyDescent="0.25">
      <c r="D526" s="5"/>
      <c r="E526" s="6"/>
    </row>
    <row r="527" spans="4:5" x14ac:dyDescent="0.25">
      <c r="D527" s="5"/>
      <c r="E527" s="6"/>
    </row>
    <row r="528" spans="4:5" x14ac:dyDescent="0.25">
      <c r="D528" s="5"/>
      <c r="E528" s="6"/>
    </row>
    <row r="529" spans="4:5" x14ac:dyDescent="0.25">
      <c r="D529" s="5"/>
      <c r="E529" s="6"/>
    </row>
    <row r="530" spans="4:5" x14ac:dyDescent="0.25">
      <c r="D530" s="5"/>
      <c r="E530" s="6"/>
    </row>
    <row r="531" spans="4:5" x14ac:dyDescent="0.25">
      <c r="D531" s="5"/>
      <c r="E531" s="6"/>
    </row>
    <row r="532" spans="4:5" x14ac:dyDescent="0.25">
      <c r="D532" s="5"/>
      <c r="E532" s="6"/>
    </row>
    <row r="533" spans="4:5" x14ac:dyDescent="0.25">
      <c r="D533" s="5"/>
      <c r="E533" s="6"/>
    </row>
    <row r="534" spans="4:5" x14ac:dyDescent="0.25">
      <c r="D534" s="5"/>
      <c r="E534" s="6"/>
    </row>
    <row r="535" spans="4:5" x14ac:dyDescent="0.25">
      <c r="D535" s="5"/>
      <c r="E535" s="6"/>
    </row>
    <row r="536" spans="4:5" x14ac:dyDescent="0.25">
      <c r="D536" s="5"/>
      <c r="E536" s="6"/>
    </row>
    <row r="537" spans="4:5" x14ac:dyDescent="0.25">
      <c r="D537" s="5"/>
      <c r="E537" s="6"/>
    </row>
    <row r="538" spans="4:5" x14ac:dyDescent="0.25">
      <c r="D538" s="5"/>
      <c r="E538" s="6"/>
    </row>
    <row r="539" spans="4:5" x14ac:dyDescent="0.25">
      <c r="D539" s="5"/>
      <c r="E539" s="6"/>
    </row>
    <row r="540" spans="4:5" x14ac:dyDescent="0.25">
      <c r="D540" s="5"/>
      <c r="E540" s="6"/>
    </row>
    <row r="541" spans="4:5" x14ac:dyDescent="0.25">
      <c r="D541" s="5"/>
      <c r="E541" s="6"/>
    </row>
    <row r="542" spans="4:5" x14ac:dyDescent="0.25">
      <c r="D542" s="5"/>
      <c r="E542" s="6"/>
    </row>
    <row r="543" spans="4:5" x14ac:dyDescent="0.25">
      <c r="D543" s="5"/>
      <c r="E543" s="6"/>
    </row>
    <row r="544" spans="4:5" x14ac:dyDescent="0.25">
      <c r="D544" s="5"/>
      <c r="E544" s="6"/>
    </row>
    <row r="545" spans="4:5" x14ac:dyDescent="0.25">
      <c r="D545" s="5"/>
      <c r="E545" s="6"/>
    </row>
    <row r="546" spans="4:5" x14ac:dyDescent="0.25">
      <c r="D546" s="5"/>
      <c r="E546" s="6"/>
    </row>
    <row r="547" spans="4:5" x14ac:dyDescent="0.25">
      <c r="D547" s="5"/>
      <c r="E547" s="6"/>
    </row>
    <row r="548" spans="4:5" x14ac:dyDescent="0.25">
      <c r="D548" s="5"/>
      <c r="E548" s="6"/>
    </row>
    <row r="549" spans="4:5" x14ac:dyDescent="0.25">
      <c r="D549" s="5"/>
      <c r="E549" s="6"/>
    </row>
    <row r="550" spans="4:5" x14ac:dyDescent="0.25">
      <c r="D550" s="5"/>
      <c r="E550" s="6"/>
    </row>
    <row r="551" spans="4:5" x14ac:dyDescent="0.25">
      <c r="D551" s="5"/>
      <c r="E551" s="6"/>
    </row>
    <row r="552" spans="4:5" x14ac:dyDescent="0.25">
      <c r="D552" s="5"/>
      <c r="E552" s="6"/>
    </row>
    <row r="553" spans="4:5" x14ac:dyDescent="0.25">
      <c r="D553" s="5"/>
      <c r="E553" s="6"/>
    </row>
    <row r="554" spans="4:5" x14ac:dyDescent="0.25">
      <c r="D554" s="5"/>
      <c r="E554" s="6"/>
    </row>
    <row r="555" spans="4:5" x14ac:dyDescent="0.25">
      <c r="D555" s="5"/>
      <c r="E555" s="6"/>
    </row>
    <row r="556" spans="4:5" x14ac:dyDescent="0.25">
      <c r="D556" s="5"/>
      <c r="E556" s="6"/>
    </row>
    <row r="557" spans="4:5" x14ac:dyDescent="0.25">
      <c r="D557" s="5"/>
      <c r="E557" s="6"/>
    </row>
    <row r="558" spans="4:5" x14ac:dyDescent="0.25">
      <c r="D558" s="5"/>
      <c r="E558" s="6"/>
    </row>
    <row r="559" spans="4:5" x14ac:dyDescent="0.25">
      <c r="D559" s="5"/>
      <c r="E559" s="6"/>
    </row>
    <row r="560" spans="4:5" x14ac:dyDescent="0.25">
      <c r="D560" s="5"/>
      <c r="E560" s="6"/>
    </row>
    <row r="561" spans="4:5" x14ac:dyDescent="0.25">
      <c r="D561" s="5"/>
      <c r="E561" s="6"/>
    </row>
    <row r="562" spans="4:5" x14ac:dyDescent="0.25">
      <c r="D562" s="5"/>
      <c r="E562" s="6"/>
    </row>
    <row r="563" spans="4:5" x14ac:dyDescent="0.25">
      <c r="D563" s="5"/>
      <c r="E563" s="6"/>
    </row>
    <row r="564" spans="4:5" x14ac:dyDescent="0.25">
      <c r="D564" s="5"/>
      <c r="E564" s="6"/>
    </row>
    <row r="565" spans="4:5" x14ac:dyDescent="0.25">
      <c r="D565" s="5"/>
      <c r="E565" s="6"/>
    </row>
    <row r="566" spans="4:5" x14ac:dyDescent="0.25">
      <c r="D566" s="5"/>
      <c r="E566" s="6"/>
    </row>
    <row r="567" spans="4:5" x14ac:dyDescent="0.25">
      <c r="D567" s="5"/>
      <c r="E567" s="6"/>
    </row>
    <row r="568" spans="4:5" x14ac:dyDescent="0.25">
      <c r="D568" s="5"/>
      <c r="E568" s="6"/>
    </row>
    <row r="569" spans="4:5" x14ac:dyDescent="0.25">
      <c r="D569" s="5"/>
      <c r="E569" s="6"/>
    </row>
    <row r="570" spans="4:5" x14ac:dyDescent="0.25">
      <c r="D570" s="5"/>
      <c r="E570" s="6"/>
    </row>
    <row r="571" spans="4:5" x14ac:dyDescent="0.25">
      <c r="D571" s="5"/>
      <c r="E571" s="6"/>
    </row>
    <row r="572" spans="4:5" x14ac:dyDescent="0.25">
      <c r="D572" s="5"/>
      <c r="E572" s="6"/>
    </row>
    <row r="573" spans="4:5" x14ac:dyDescent="0.25">
      <c r="D573" s="5"/>
      <c r="E573" s="6"/>
    </row>
    <row r="574" spans="4:5" x14ac:dyDescent="0.25">
      <c r="D574" s="5"/>
      <c r="E574" s="6"/>
    </row>
    <row r="575" spans="4:5" x14ac:dyDescent="0.25">
      <c r="D575" s="5"/>
      <c r="E575" s="6"/>
    </row>
    <row r="576" spans="4:5" x14ac:dyDescent="0.25">
      <c r="D576" s="5"/>
      <c r="E576" s="6"/>
    </row>
    <row r="577" spans="4:5" x14ac:dyDescent="0.25">
      <c r="D577" s="5"/>
      <c r="E577" s="6"/>
    </row>
    <row r="578" spans="4:5" x14ac:dyDescent="0.25">
      <c r="D578" s="5"/>
      <c r="E578" s="6"/>
    </row>
    <row r="579" spans="4:5" x14ac:dyDescent="0.25">
      <c r="D579" s="5"/>
      <c r="E579" s="6"/>
    </row>
    <row r="580" spans="4:5" x14ac:dyDescent="0.25">
      <c r="D580" s="5"/>
      <c r="E580" s="6"/>
    </row>
    <row r="581" spans="4:5" x14ac:dyDescent="0.25">
      <c r="D581" s="5"/>
      <c r="E581" s="6"/>
    </row>
    <row r="582" spans="4:5" x14ac:dyDescent="0.25">
      <c r="D582" s="5"/>
      <c r="E582" s="6"/>
    </row>
    <row r="583" spans="4:5" x14ac:dyDescent="0.25">
      <c r="D583" s="5"/>
      <c r="E583" s="6"/>
    </row>
    <row r="584" spans="4:5" x14ac:dyDescent="0.25">
      <c r="D584" s="5"/>
      <c r="E584" s="6"/>
    </row>
    <row r="585" spans="4:5" x14ac:dyDescent="0.25">
      <c r="D585" s="5"/>
      <c r="E585" s="6"/>
    </row>
    <row r="586" spans="4:5" x14ac:dyDescent="0.25">
      <c r="D586" s="5"/>
      <c r="E586" s="6"/>
    </row>
    <row r="587" spans="4:5" x14ac:dyDescent="0.25">
      <c r="D587" s="5"/>
      <c r="E587" s="6"/>
    </row>
    <row r="588" spans="4:5" x14ac:dyDescent="0.25">
      <c r="D588" s="5"/>
      <c r="E588" s="6"/>
    </row>
    <row r="589" spans="4:5" x14ac:dyDescent="0.25">
      <c r="D589" s="5"/>
      <c r="E589" s="6"/>
    </row>
    <row r="590" spans="4:5" x14ac:dyDescent="0.25">
      <c r="D590" s="5"/>
      <c r="E590" s="6"/>
    </row>
    <row r="591" spans="4:5" x14ac:dyDescent="0.25">
      <c r="D591" s="5"/>
      <c r="E591" s="6"/>
    </row>
    <row r="592" spans="4:5" x14ac:dyDescent="0.25">
      <c r="D592" s="5"/>
      <c r="E592" s="6"/>
    </row>
    <row r="593" spans="4:5" x14ac:dyDescent="0.25">
      <c r="D593" s="5"/>
      <c r="E593" s="6"/>
    </row>
    <row r="594" spans="4:5" x14ac:dyDescent="0.25">
      <c r="D594" s="5"/>
      <c r="E594" s="6"/>
    </row>
    <row r="595" spans="4:5" x14ac:dyDescent="0.25">
      <c r="D595" s="5"/>
      <c r="E595" s="6"/>
    </row>
    <row r="596" spans="4:5" x14ac:dyDescent="0.25">
      <c r="D596" s="5"/>
      <c r="E596" s="6"/>
    </row>
    <row r="597" spans="4:5" x14ac:dyDescent="0.25">
      <c r="D597" s="5"/>
      <c r="E597" s="6"/>
    </row>
    <row r="598" spans="4:5" x14ac:dyDescent="0.25">
      <c r="D598" s="5"/>
      <c r="E598" s="6"/>
    </row>
    <row r="599" spans="4:5" x14ac:dyDescent="0.25">
      <c r="D599" s="5"/>
      <c r="E599" s="6"/>
    </row>
    <row r="600" spans="4:5" x14ac:dyDescent="0.25">
      <c r="D600" s="5"/>
      <c r="E600" s="6"/>
    </row>
    <row r="601" spans="4:5" x14ac:dyDescent="0.25">
      <c r="D601" s="5"/>
      <c r="E601" s="6"/>
    </row>
    <row r="602" spans="4:5" x14ac:dyDescent="0.25">
      <c r="D602" s="5"/>
      <c r="E602" s="6"/>
    </row>
    <row r="603" spans="4:5" x14ac:dyDescent="0.25">
      <c r="D603" s="5"/>
      <c r="E603" s="6"/>
    </row>
    <row r="604" spans="4:5" x14ac:dyDescent="0.25">
      <c r="D604" s="5"/>
      <c r="E604" s="6"/>
    </row>
    <row r="605" spans="4:5" x14ac:dyDescent="0.25">
      <c r="D605" s="5"/>
      <c r="E605" s="6"/>
    </row>
    <row r="606" spans="4:5" x14ac:dyDescent="0.25">
      <c r="D606" s="5"/>
      <c r="E606" s="6"/>
    </row>
    <row r="607" spans="4:5" x14ac:dyDescent="0.25">
      <c r="D607" s="5"/>
      <c r="E607" s="6"/>
    </row>
    <row r="608" spans="4:5" x14ac:dyDescent="0.25">
      <c r="D608" s="5"/>
      <c r="E608" s="6"/>
    </row>
    <row r="609" spans="4:5" x14ac:dyDescent="0.25">
      <c r="D609" s="5"/>
      <c r="E609" s="6"/>
    </row>
    <row r="610" spans="4:5" x14ac:dyDescent="0.25">
      <c r="D610" s="5"/>
      <c r="E610" s="6"/>
    </row>
    <row r="611" spans="4:5" x14ac:dyDescent="0.25">
      <c r="D611" s="5"/>
      <c r="E611" s="6"/>
    </row>
    <row r="612" spans="4:5" x14ac:dyDescent="0.25">
      <c r="D612" s="5"/>
      <c r="E612" s="6"/>
    </row>
    <row r="613" spans="4:5" x14ac:dyDescent="0.25">
      <c r="D613" s="5"/>
      <c r="E613" s="6"/>
    </row>
    <row r="614" spans="4:5" x14ac:dyDescent="0.25">
      <c r="D614" s="5"/>
      <c r="E614" s="6"/>
    </row>
    <row r="615" spans="4:5" x14ac:dyDescent="0.25">
      <c r="D615" s="5"/>
      <c r="E615" s="6"/>
    </row>
    <row r="616" spans="4:5" x14ac:dyDescent="0.25">
      <c r="D616" s="5"/>
      <c r="E616" s="6"/>
    </row>
    <row r="617" spans="4:5" x14ac:dyDescent="0.25">
      <c r="D617" s="5"/>
      <c r="E617" s="6"/>
    </row>
    <row r="618" spans="4:5" x14ac:dyDescent="0.25">
      <c r="D618" s="5"/>
      <c r="E618" s="6"/>
    </row>
    <row r="619" spans="4:5" x14ac:dyDescent="0.25">
      <c r="D619" s="5"/>
      <c r="E619" s="6"/>
    </row>
    <row r="620" spans="4:5" x14ac:dyDescent="0.25">
      <c r="D620" s="5"/>
      <c r="E620" s="6"/>
    </row>
    <row r="621" spans="4:5" x14ac:dyDescent="0.25">
      <c r="D621" s="5"/>
      <c r="E621" s="6"/>
    </row>
    <row r="622" spans="4:5" x14ac:dyDescent="0.25">
      <c r="D622" s="5"/>
      <c r="E622" s="6"/>
    </row>
    <row r="623" spans="4:5" x14ac:dyDescent="0.25">
      <c r="D623" s="5"/>
      <c r="E623" s="6"/>
    </row>
    <row r="624" spans="4:5" x14ac:dyDescent="0.25">
      <c r="D624" s="5"/>
      <c r="E624" s="6"/>
    </row>
    <row r="625" spans="4:5" x14ac:dyDescent="0.25">
      <c r="D625" s="5"/>
      <c r="E625" s="6"/>
    </row>
    <row r="626" spans="4:5" x14ac:dyDescent="0.25">
      <c r="D626" s="5"/>
      <c r="E626" s="6"/>
    </row>
    <row r="627" spans="4:5" x14ac:dyDescent="0.25">
      <c r="D627" s="5"/>
      <c r="E627" s="6"/>
    </row>
    <row r="628" spans="4:5" x14ac:dyDescent="0.25">
      <c r="D628" s="5"/>
      <c r="E628" s="6"/>
    </row>
    <row r="629" spans="4:5" x14ac:dyDescent="0.25">
      <c r="D629" s="5"/>
      <c r="E629" s="6"/>
    </row>
    <row r="630" spans="4:5" x14ac:dyDescent="0.25">
      <c r="D630" s="5"/>
      <c r="E630" s="6"/>
    </row>
    <row r="631" spans="4:5" x14ac:dyDescent="0.25">
      <c r="D631" s="5"/>
      <c r="E631" s="6"/>
    </row>
    <row r="632" spans="4:5" x14ac:dyDescent="0.25">
      <c r="D632" s="5"/>
      <c r="E632" s="6"/>
    </row>
    <row r="633" spans="4:5" x14ac:dyDescent="0.25">
      <c r="D633" s="5"/>
      <c r="E633" s="6"/>
    </row>
    <row r="634" spans="4:5" x14ac:dyDescent="0.25">
      <c r="D634" s="5"/>
      <c r="E634" s="6"/>
    </row>
    <row r="635" spans="4:5" x14ac:dyDescent="0.25">
      <c r="D635" s="5"/>
      <c r="E635" s="6"/>
    </row>
    <row r="636" spans="4:5" x14ac:dyDescent="0.25">
      <c r="D636" s="5"/>
      <c r="E636" s="6"/>
    </row>
    <row r="637" spans="4:5" x14ac:dyDescent="0.25">
      <c r="D637" s="5"/>
      <c r="E637" s="6"/>
    </row>
    <row r="638" spans="4:5" x14ac:dyDescent="0.25">
      <c r="D638" s="5"/>
      <c r="E638" s="6"/>
    </row>
    <row r="639" spans="4:5" x14ac:dyDescent="0.25">
      <c r="D639" s="5"/>
      <c r="E639" s="6"/>
    </row>
    <row r="640" spans="4:5" x14ac:dyDescent="0.25">
      <c r="D640" s="5"/>
      <c r="E640" s="6"/>
    </row>
    <row r="641" spans="4:5" x14ac:dyDescent="0.25">
      <c r="D641" s="5"/>
      <c r="E641" s="6"/>
    </row>
    <row r="642" spans="4:5" x14ac:dyDescent="0.25">
      <c r="D642" s="5"/>
      <c r="E642" s="6"/>
    </row>
    <row r="643" spans="4:5" x14ac:dyDescent="0.25">
      <c r="D643" s="5"/>
      <c r="E643" s="6"/>
    </row>
    <row r="644" spans="4:5" x14ac:dyDescent="0.25">
      <c r="D644" s="5"/>
      <c r="E644" s="6"/>
    </row>
    <row r="645" spans="4:5" x14ac:dyDescent="0.25">
      <c r="D645" s="5"/>
      <c r="E645" s="6"/>
    </row>
    <row r="646" spans="4:5" x14ac:dyDescent="0.25">
      <c r="D646" s="5"/>
      <c r="E646" s="6"/>
    </row>
    <row r="647" spans="4:5" x14ac:dyDescent="0.25">
      <c r="D647" s="5"/>
      <c r="E647" s="6"/>
    </row>
    <row r="648" spans="4:5" x14ac:dyDescent="0.25">
      <c r="D648" s="5"/>
      <c r="E648" s="6"/>
    </row>
    <row r="649" spans="4:5" x14ac:dyDescent="0.25">
      <c r="D649" s="5"/>
      <c r="E649" s="6"/>
    </row>
    <row r="650" spans="4:5" x14ac:dyDescent="0.25">
      <c r="D650" s="5"/>
      <c r="E650" s="6"/>
    </row>
    <row r="651" spans="4:5" x14ac:dyDescent="0.25">
      <c r="D651" s="5"/>
      <c r="E651" s="6"/>
    </row>
    <row r="652" spans="4:5" x14ac:dyDescent="0.25">
      <c r="D652" s="5"/>
      <c r="E652" s="6"/>
    </row>
    <row r="653" spans="4:5" x14ac:dyDescent="0.25">
      <c r="D653" s="5"/>
      <c r="E653" s="6"/>
    </row>
    <row r="654" spans="4:5" x14ac:dyDescent="0.25">
      <c r="D654" s="5"/>
      <c r="E654" s="6"/>
    </row>
    <row r="655" spans="4:5" x14ac:dyDescent="0.25">
      <c r="D655" s="5"/>
      <c r="E655" s="6"/>
    </row>
    <row r="656" spans="4:5" x14ac:dyDescent="0.25">
      <c r="D656" s="5"/>
      <c r="E656" s="6"/>
    </row>
    <row r="657" spans="4:5" x14ac:dyDescent="0.25">
      <c r="D657" s="5"/>
      <c r="E657" s="6"/>
    </row>
    <row r="658" spans="4:5" x14ac:dyDescent="0.25">
      <c r="D658" s="5"/>
      <c r="E658" s="6"/>
    </row>
    <row r="659" spans="4:5" x14ac:dyDescent="0.25">
      <c r="D659" s="5"/>
      <c r="E659" s="6"/>
    </row>
    <row r="660" spans="4:5" x14ac:dyDescent="0.25">
      <c r="D660" s="5"/>
      <c r="E660" s="6"/>
    </row>
    <row r="661" spans="4:5" x14ac:dyDescent="0.25">
      <c r="D661" s="5"/>
      <c r="E661" s="6"/>
    </row>
    <row r="662" spans="4:5" x14ac:dyDescent="0.25">
      <c r="D662" s="5"/>
      <c r="E662" s="6"/>
    </row>
    <row r="663" spans="4:5" x14ac:dyDescent="0.25">
      <c r="D663" s="5"/>
      <c r="E663" s="6"/>
    </row>
    <row r="664" spans="4:5" x14ac:dyDescent="0.25">
      <c r="D664" s="5"/>
      <c r="E664" s="6"/>
    </row>
    <row r="665" spans="4:5" x14ac:dyDescent="0.25">
      <c r="D665" s="5"/>
      <c r="E665" s="6"/>
    </row>
    <row r="666" spans="4:5" x14ac:dyDescent="0.25">
      <c r="D666" s="5"/>
      <c r="E666" s="6"/>
    </row>
    <row r="667" spans="4:5" x14ac:dyDescent="0.25">
      <c r="D667" s="5"/>
      <c r="E667" s="6"/>
    </row>
    <row r="668" spans="4:5" x14ac:dyDescent="0.25">
      <c r="D668" s="5"/>
      <c r="E668" s="6"/>
    </row>
    <row r="669" spans="4:5" x14ac:dyDescent="0.25">
      <c r="D669" s="5"/>
      <c r="E669" s="6"/>
    </row>
    <row r="670" spans="4:5" x14ac:dyDescent="0.25">
      <c r="D670" s="5"/>
      <c r="E670" s="6"/>
    </row>
    <row r="671" spans="4:5" x14ac:dyDescent="0.25">
      <c r="D671" s="5"/>
      <c r="E671" s="6"/>
    </row>
    <row r="672" spans="4:5" x14ac:dyDescent="0.25">
      <c r="D672" s="5"/>
      <c r="E672" s="6"/>
    </row>
    <row r="673" spans="4:5" x14ac:dyDescent="0.25">
      <c r="D673" s="5"/>
      <c r="E673" s="6"/>
    </row>
    <row r="674" spans="4:5" x14ac:dyDescent="0.25">
      <c r="D674" s="5"/>
      <c r="E674" s="6"/>
    </row>
    <row r="675" spans="4:5" x14ac:dyDescent="0.25">
      <c r="D675" s="5"/>
      <c r="E675" s="6"/>
    </row>
    <row r="676" spans="4:5" x14ac:dyDescent="0.25">
      <c r="D676" s="5"/>
      <c r="E676" s="6"/>
    </row>
    <row r="677" spans="4:5" x14ac:dyDescent="0.25">
      <c r="D677" s="5"/>
      <c r="E677" s="6"/>
    </row>
    <row r="678" spans="4:5" x14ac:dyDescent="0.25">
      <c r="D678" s="5"/>
      <c r="E678" s="6"/>
    </row>
    <row r="679" spans="4:5" x14ac:dyDescent="0.25">
      <c r="D679" s="5"/>
      <c r="E679" s="6"/>
    </row>
    <row r="680" spans="4:5" x14ac:dyDescent="0.25">
      <c r="D680" s="5"/>
      <c r="E680" s="6"/>
    </row>
    <row r="681" spans="4:5" x14ac:dyDescent="0.25">
      <c r="D681" s="5"/>
      <c r="E681" s="6"/>
    </row>
    <row r="682" spans="4:5" x14ac:dyDescent="0.25">
      <c r="D682" s="5"/>
      <c r="E682" s="6"/>
    </row>
    <row r="683" spans="4:5" x14ac:dyDescent="0.25">
      <c r="D683" s="5"/>
      <c r="E683" s="6"/>
    </row>
    <row r="684" spans="4:5" x14ac:dyDescent="0.25">
      <c r="D684" s="5"/>
      <c r="E684" s="6"/>
    </row>
    <row r="685" spans="4:5" x14ac:dyDescent="0.25">
      <c r="D685" s="5"/>
      <c r="E685" s="6"/>
    </row>
    <row r="686" spans="4:5" x14ac:dyDescent="0.25">
      <c r="D686" s="5"/>
      <c r="E686" s="6"/>
    </row>
    <row r="687" spans="4:5" x14ac:dyDescent="0.25">
      <c r="D687" s="5"/>
      <c r="E687" s="6"/>
    </row>
    <row r="688" spans="4:5" x14ac:dyDescent="0.25">
      <c r="D688" s="5"/>
      <c r="E688" s="6"/>
    </row>
    <row r="689" spans="4:5" x14ac:dyDescent="0.25">
      <c r="D689" s="5"/>
      <c r="E689" s="6"/>
    </row>
    <row r="690" spans="4:5" x14ac:dyDescent="0.25">
      <c r="D690" s="5"/>
      <c r="E690" s="6"/>
    </row>
    <row r="691" spans="4:5" x14ac:dyDescent="0.25">
      <c r="D691" s="5"/>
      <c r="E691" s="6"/>
    </row>
    <row r="692" spans="4:5" x14ac:dyDescent="0.25">
      <c r="D692" s="5"/>
      <c r="E692" s="6"/>
    </row>
    <row r="693" spans="4:5" x14ac:dyDescent="0.25">
      <c r="D693" s="5"/>
      <c r="E693" s="6"/>
    </row>
    <row r="694" spans="4:5" x14ac:dyDescent="0.25">
      <c r="D694" s="5"/>
      <c r="E694" s="6"/>
    </row>
    <row r="695" spans="4:5" x14ac:dyDescent="0.25">
      <c r="D695" s="5"/>
      <c r="E695" s="6"/>
    </row>
    <row r="696" spans="4:5" x14ac:dyDescent="0.25">
      <c r="D696" s="5"/>
      <c r="E696" s="6"/>
    </row>
    <row r="697" spans="4:5" x14ac:dyDescent="0.25">
      <c r="D697" s="5"/>
      <c r="E697" s="6"/>
    </row>
    <row r="698" spans="4:5" x14ac:dyDescent="0.25">
      <c r="D698" s="5"/>
      <c r="E698" s="6"/>
    </row>
    <row r="699" spans="4:5" x14ac:dyDescent="0.25">
      <c r="D699" s="5"/>
      <c r="E699" s="6"/>
    </row>
    <row r="700" spans="4:5" x14ac:dyDescent="0.25">
      <c r="D700" s="5"/>
      <c r="E700" s="6"/>
    </row>
    <row r="701" spans="4:5" x14ac:dyDescent="0.25">
      <c r="D701" s="5"/>
      <c r="E701" s="6"/>
    </row>
    <row r="702" spans="4:5" x14ac:dyDescent="0.25">
      <c r="D702" s="5"/>
      <c r="E702" s="6"/>
    </row>
    <row r="703" spans="4:5" x14ac:dyDescent="0.25">
      <c r="D703" s="5"/>
      <c r="E703" s="6"/>
    </row>
    <row r="704" spans="4:5" x14ac:dyDescent="0.25">
      <c r="D704" s="5"/>
      <c r="E704" s="6"/>
    </row>
    <row r="705" spans="4:5" x14ac:dyDescent="0.25">
      <c r="D705" s="5"/>
      <c r="E705" s="6"/>
    </row>
    <row r="706" spans="4:5" x14ac:dyDescent="0.25">
      <c r="D706" s="5"/>
      <c r="E706" s="6"/>
    </row>
    <row r="707" spans="4:5" x14ac:dyDescent="0.25">
      <c r="D707" s="5"/>
      <c r="E707" s="6"/>
    </row>
    <row r="708" spans="4:5" x14ac:dyDescent="0.25">
      <c r="D708" s="5"/>
      <c r="E708" s="6"/>
    </row>
    <row r="709" spans="4:5" x14ac:dyDescent="0.25">
      <c r="D709" s="5"/>
      <c r="E709" s="6"/>
    </row>
    <row r="710" spans="4:5" x14ac:dyDescent="0.25">
      <c r="D710" s="5"/>
      <c r="E710" s="6"/>
    </row>
    <row r="711" spans="4:5" x14ac:dyDescent="0.25">
      <c r="D711" s="5"/>
      <c r="E711" s="6"/>
    </row>
    <row r="712" spans="4:5" x14ac:dyDescent="0.25">
      <c r="D712" s="5"/>
      <c r="E712" s="6"/>
    </row>
    <row r="713" spans="4:5" x14ac:dyDescent="0.25">
      <c r="D713" s="5"/>
      <c r="E713" s="6"/>
    </row>
    <row r="714" spans="4:5" x14ac:dyDescent="0.25">
      <c r="D714" s="5"/>
      <c r="E714" s="6"/>
    </row>
    <row r="715" spans="4:5" x14ac:dyDescent="0.25">
      <c r="D715" s="5"/>
      <c r="E715" s="6"/>
    </row>
    <row r="716" spans="4:5" x14ac:dyDescent="0.25">
      <c r="D716" s="5"/>
      <c r="E716" s="6"/>
    </row>
    <row r="717" spans="4:5" x14ac:dyDescent="0.25">
      <c r="D717" s="5"/>
      <c r="E717" s="6"/>
    </row>
    <row r="718" spans="4:5" x14ac:dyDescent="0.25">
      <c r="D718" s="5"/>
      <c r="E718" s="6"/>
    </row>
    <row r="719" spans="4:5" x14ac:dyDescent="0.25">
      <c r="D719" s="5"/>
      <c r="E719" s="6"/>
    </row>
    <row r="720" spans="4:5" x14ac:dyDescent="0.25">
      <c r="D720" s="5"/>
      <c r="E720" s="6"/>
    </row>
    <row r="721" spans="4:5" x14ac:dyDescent="0.25">
      <c r="D721" s="5"/>
      <c r="E721" s="6"/>
    </row>
    <row r="722" spans="4:5" x14ac:dyDescent="0.25">
      <c r="D722" s="5"/>
      <c r="E722" s="6"/>
    </row>
    <row r="723" spans="4:5" x14ac:dyDescent="0.25">
      <c r="D723" s="5"/>
      <c r="E723" s="6"/>
    </row>
    <row r="724" spans="4:5" x14ac:dyDescent="0.25">
      <c r="D724" s="5"/>
      <c r="E724" s="6"/>
    </row>
    <row r="725" spans="4:5" x14ac:dyDescent="0.25">
      <c r="D725" s="5"/>
      <c r="E725" s="6"/>
    </row>
    <row r="726" spans="4:5" x14ac:dyDescent="0.25">
      <c r="D726" s="5"/>
      <c r="E726" s="6"/>
    </row>
    <row r="727" spans="4:5" x14ac:dyDescent="0.25">
      <c r="D727" s="5"/>
      <c r="E727" s="6"/>
    </row>
    <row r="728" spans="4:5" x14ac:dyDescent="0.25">
      <c r="D728" s="5"/>
      <c r="E728" s="6"/>
    </row>
    <row r="729" spans="4:5" x14ac:dyDescent="0.25">
      <c r="D729" s="5"/>
      <c r="E729" s="6"/>
    </row>
    <row r="730" spans="4:5" x14ac:dyDescent="0.25">
      <c r="D730" s="5"/>
      <c r="E730" s="6"/>
    </row>
    <row r="731" spans="4:5" x14ac:dyDescent="0.25">
      <c r="D731" s="5"/>
      <c r="E731" s="6"/>
    </row>
    <row r="732" spans="4:5" x14ac:dyDescent="0.25">
      <c r="D732" s="5"/>
      <c r="E732" s="6"/>
    </row>
    <row r="733" spans="4:5" x14ac:dyDescent="0.25">
      <c r="D733" s="5"/>
      <c r="E733" s="6"/>
    </row>
    <row r="734" spans="4:5" x14ac:dyDescent="0.25">
      <c r="D734" s="5"/>
      <c r="E734" s="6"/>
    </row>
    <row r="735" spans="4:5" x14ac:dyDescent="0.25">
      <c r="D735" s="5"/>
      <c r="E735" s="6"/>
    </row>
    <row r="736" spans="4:5" x14ac:dyDescent="0.25">
      <c r="D736" s="5"/>
      <c r="E736" s="6"/>
    </row>
    <row r="737" spans="4:5" x14ac:dyDescent="0.25">
      <c r="D737" s="5"/>
      <c r="E737" s="6"/>
    </row>
    <row r="738" spans="4:5" x14ac:dyDescent="0.25">
      <c r="D738" s="5"/>
      <c r="E738" s="6"/>
    </row>
    <row r="739" spans="4:5" x14ac:dyDescent="0.25">
      <c r="D739" s="5"/>
      <c r="E739" s="6"/>
    </row>
    <row r="740" spans="4:5" x14ac:dyDescent="0.25">
      <c r="D740" s="5"/>
      <c r="E740" s="6"/>
    </row>
    <row r="741" spans="4:5" x14ac:dyDescent="0.25">
      <c r="D741" s="5"/>
      <c r="E741" s="6"/>
    </row>
    <row r="742" spans="4:5" x14ac:dyDescent="0.25">
      <c r="D742" s="5"/>
      <c r="E742" s="6"/>
    </row>
    <row r="743" spans="4:5" x14ac:dyDescent="0.25">
      <c r="D743" s="5"/>
      <c r="E743" s="6"/>
    </row>
    <row r="744" spans="4:5" x14ac:dyDescent="0.25">
      <c r="D744" s="5"/>
      <c r="E744" s="6"/>
    </row>
    <row r="745" spans="4:5" x14ac:dyDescent="0.25">
      <c r="D745" s="5"/>
      <c r="E745" s="6"/>
    </row>
    <row r="746" spans="4:5" x14ac:dyDescent="0.25">
      <c r="D746" s="5"/>
      <c r="E746" s="6"/>
    </row>
    <row r="747" spans="4:5" x14ac:dyDescent="0.25">
      <c r="D747" s="5"/>
      <c r="E747" s="6"/>
    </row>
    <row r="748" spans="4:5" x14ac:dyDescent="0.25">
      <c r="D748" s="5"/>
      <c r="E748" s="6"/>
    </row>
    <row r="749" spans="4:5" x14ac:dyDescent="0.25">
      <c r="D749" s="5"/>
      <c r="E749" s="6"/>
    </row>
    <row r="750" spans="4:5" x14ac:dyDescent="0.25">
      <c r="D750" s="5"/>
      <c r="E750" s="6"/>
    </row>
    <row r="751" spans="4:5" x14ac:dyDescent="0.25">
      <c r="D751" s="5"/>
      <c r="E751" s="6"/>
    </row>
    <row r="752" spans="4:5" x14ac:dyDescent="0.25">
      <c r="D752" s="5"/>
      <c r="E752" s="6"/>
    </row>
    <row r="753" spans="4:5" x14ac:dyDescent="0.25">
      <c r="D753" s="5"/>
      <c r="E753" s="6"/>
    </row>
    <row r="754" spans="4:5" x14ac:dyDescent="0.25">
      <c r="D754" s="5"/>
      <c r="E754" s="6"/>
    </row>
    <row r="755" spans="4:5" x14ac:dyDescent="0.25">
      <c r="D755" s="5"/>
      <c r="E755" s="6"/>
    </row>
    <row r="756" spans="4:5" x14ac:dyDescent="0.25">
      <c r="D756" s="5"/>
      <c r="E756" s="6"/>
    </row>
    <row r="757" spans="4:5" x14ac:dyDescent="0.25">
      <c r="D757" s="5"/>
      <c r="E757" s="6"/>
    </row>
    <row r="758" spans="4:5" x14ac:dyDescent="0.25">
      <c r="D758" s="5"/>
      <c r="E758" s="6"/>
    </row>
    <row r="759" spans="4:5" x14ac:dyDescent="0.25">
      <c r="D759" s="5"/>
      <c r="E759" s="6"/>
    </row>
    <row r="760" spans="4:5" x14ac:dyDescent="0.25">
      <c r="D760" s="5"/>
      <c r="E760" s="6"/>
    </row>
    <row r="761" spans="4:5" x14ac:dyDescent="0.25">
      <c r="D761" s="5"/>
      <c r="E761" s="6"/>
    </row>
    <row r="762" spans="4:5" x14ac:dyDescent="0.25">
      <c r="D762" s="5"/>
      <c r="E762" s="6"/>
    </row>
    <row r="763" spans="4:5" x14ac:dyDescent="0.25">
      <c r="D763" s="5"/>
      <c r="E763" s="6"/>
    </row>
    <row r="764" spans="4:5" x14ac:dyDescent="0.25">
      <c r="D764" s="5"/>
      <c r="E764" s="6"/>
    </row>
    <row r="765" spans="4:5" x14ac:dyDescent="0.25">
      <c r="D765" s="5"/>
      <c r="E765" s="6"/>
    </row>
    <row r="766" spans="4:5" x14ac:dyDescent="0.25">
      <c r="D766" s="5"/>
      <c r="E766" s="6"/>
    </row>
    <row r="767" spans="4:5" x14ac:dyDescent="0.25">
      <c r="D767" s="5"/>
      <c r="E767" s="6"/>
    </row>
    <row r="768" spans="4:5" x14ac:dyDescent="0.25">
      <c r="D768" s="5"/>
      <c r="E768" s="6"/>
    </row>
    <row r="769" spans="4:5" x14ac:dyDescent="0.25">
      <c r="D769" s="5"/>
      <c r="E769" s="6"/>
    </row>
    <row r="770" spans="4:5" x14ac:dyDescent="0.25">
      <c r="D770" s="5"/>
      <c r="E770" s="6"/>
    </row>
    <row r="771" spans="4:5" x14ac:dyDescent="0.25">
      <c r="D771" s="5"/>
      <c r="E771" s="6"/>
    </row>
    <row r="772" spans="4:5" x14ac:dyDescent="0.25">
      <c r="D772" s="5"/>
      <c r="E772" s="6"/>
    </row>
    <row r="773" spans="4:5" x14ac:dyDescent="0.25">
      <c r="D773" s="5"/>
      <c r="E773" s="6"/>
    </row>
    <row r="774" spans="4:5" x14ac:dyDescent="0.25">
      <c r="D774" s="5"/>
      <c r="E774" s="6"/>
    </row>
    <row r="775" spans="4:5" x14ac:dyDescent="0.25">
      <c r="D775" s="5"/>
      <c r="E775" s="6"/>
    </row>
    <row r="776" spans="4:5" x14ac:dyDescent="0.25">
      <c r="D776" s="5"/>
      <c r="E776" s="6"/>
    </row>
    <row r="777" spans="4:5" x14ac:dyDescent="0.25">
      <c r="D777" s="5"/>
      <c r="E777" s="6"/>
    </row>
    <row r="778" spans="4:5" x14ac:dyDescent="0.25">
      <c r="D778" s="5"/>
      <c r="E778" s="6"/>
    </row>
    <row r="779" spans="4:5" x14ac:dyDescent="0.25">
      <c r="D779" s="5"/>
      <c r="E779" s="6"/>
    </row>
    <row r="780" spans="4:5" x14ac:dyDescent="0.25">
      <c r="D780" s="5"/>
      <c r="E780" s="6"/>
    </row>
    <row r="781" spans="4:5" x14ac:dyDescent="0.25">
      <c r="D781" s="5"/>
      <c r="E781" s="6"/>
    </row>
    <row r="782" spans="4:5" x14ac:dyDescent="0.25">
      <c r="D782" s="5"/>
      <c r="E782" s="6"/>
    </row>
    <row r="783" spans="4:5" x14ac:dyDescent="0.25">
      <c r="D783" s="5"/>
      <c r="E783" s="6"/>
    </row>
    <row r="784" spans="4:5" x14ac:dyDescent="0.25">
      <c r="D784" s="5"/>
      <c r="E784" s="6"/>
    </row>
    <row r="785" spans="4:5" x14ac:dyDescent="0.25">
      <c r="D785" s="5"/>
      <c r="E785" s="6"/>
    </row>
    <row r="786" spans="4:5" x14ac:dyDescent="0.25">
      <c r="D786" s="5"/>
      <c r="E786" s="6"/>
    </row>
    <row r="787" spans="4:5" x14ac:dyDescent="0.25">
      <c r="D787" s="5"/>
      <c r="E787" s="6"/>
    </row>
    <row r="788" spans="4:5" x14ac:dyDescent="0.25">
      <c r="D788" s="5"/>
      <c r="E788" s="6"/>
    </row>
    <row r="789" spans="4:5" x14ac:dyDescent="0.25">
      <c r="D789" s="5"/>
      <c r="E789" s="6"/>
    </row>
    <row r="790" spans="4:5" x14ac:dyDescent="0.25">
      <c r="D790" s="5"/>
      <c r="E790" s="6"/>
    </row>
    <row r="791" spans="4:5" x14ac:dyDescent="0.25">
      <c r="D791" s="5"/>
      <c r="E791" s="6"/>
    </row>
    <row r="792" spans="4:5" x14ac:dyDescent="0.25">
      <c r="D792" s="5"/>
      <c r="E792" s="6"/>
    </row>
    <row r="793" spans="4:5" x14ac:dyDescent="0.25">
      <c r="D793" s="5"/>
      <c r="E793" s="6"/>
    </row>
    <row r="794" spans="4:5" x14ac:dyDescent="0.25">
      <c r="D794" s="5"/>
      <c r="E794" s="6"/>
    </row>
    <row r="795" spans="4:5" x14ac:dyDescent="0.25">
      <c r="D795" s="5"/>
      <c r="E795" s="6"/>
    </row>
    <row r="796" spans="4:5" x14ac:dyDescent="0.25">
      <c r="D796" s="5"/>
      <c r="E796" s="6"/>
    </row>
    <row r="797" spans="4:5" x14ac:dyDescent="0.25">
      <c r="D797" s="5"/>
      <c r="E797" s="6"/>
    </row>
    <row r="798" spans="4:5" x14ac:dyDescent="0.25">
      <c r="D798" s="5"/>
      <c r="E798" s="6"/>
    </row>
    <row r="799" spans="4:5" x14ac:dyDescent="0.25">
      <c r="D799" s="5"/>
      <c r="E799" s="6"/>
    </row>
    <row r="800" spans="4:5" x14ac:dyDescent="0.25">
      <c r="D800" s="5"/>
      <c r="E800" s="6"/>
    </row>
    <row r="801" spans="4:5" x14ac:dyDescent="0.25">
      <c r="D801" s="5"/>
      <c r="E801" s="6"/>
    </row>
    <row r="802" spans="4:5" x14ac:dyDescent="0.25">
      <c r="D802" s="5"/>
      <c r="E802" s="6"/>
    </row>
    <row r="803" spans="4:5" x14ac:dyDescent="0.25">
      <c r="D803" s="5"/>
      <c r="E803" s="6"/>
    </row>
    <row r="804" spans="4:5" x14ac:dyDescent="0.25">
      <c r="D804" s="5"/>
      <c r="E804" s="6"/>
    </row>
    <row r="805" spans="4:5" x14ac:dyDescent="0.25">
      <c r="D805" s="5"/>
      <c r="E805" s="6"/>
    </row>
    <row r="806" spans="4:5" x14ac:dyDescent="0.25">
      <c r="D806" s="5"/>
      <c r="E806" s="6"/>
    </row>
    <row r="807" spans="4:5" x14ac:dyDescent="0.25">
      <c r="D807" s="5"/>
      <c r="E807" s="6"/>
    </row>
    <row r="808" spans="4:5" x14ac:dyDescent="0.25">
      <c r="D808" s="5"/>
      <c r="E808" s="6"/>
    </row>
    <row r="809" spans="4:5" x14ac:dyDescent="0.25">
      <c r="D809" s="5"/>
      <c r="E809" s="6"/>
    </row>
    <row r="810" spans="4:5" x14ac:dyDescent="0.25">
      <c r="D810" s="5"/>
      <c r="E810" s="6"/>
    </row>
    <row r="811" spans="4:5" x14ac:dyDescent="0.25">
      <c r="D811" s="5"/>
      <c r="E811" s="6"/>
    </row>
    <row r="812" spans="4:5" x14ac:dyDescent="0.25">
      <c r="D812" s="5"/>
      <c r="E812" s="6"/>
    </row>
    <row r="813" spans="4:5" x14ac:dyDescent="0.25">
      <c r="D813" s="5"/>
      <c r="E813" s="6"/>
    </row>
    <row r="814" spans="4:5" x14ac:dyDescent="0.25">
      <c r="D814" s="5"/>
      <c r="E814" s="6"/>
    </row>
    <row r="815" spans="4:5" x14ac:dyDescent="0.25">
      <c r="D815" s="5"/>
      <c r="E815" s="6"/>
    </row>
    <row r="816" spans="4:5" x14ac:dyDescent="0.25">
      <c r="D816" s="5"/>
      <c r="E816" s="6"/>
    </row>
    <row r="817" spans="4:5" x14ac:dyDescent="0.25">
      <c r="D817" s="5"/>
      <c r="E817" s="6"/>
    </row>
    <row r="818" spans="4:5" x14ac:dyDescent="0.25">
      <c r="D818" s="5"/>
      <c r="E818" s="6"/>
    </row>
    <row r="819" spans="4:5" x14ac:dyDescent="0.25">
      <c r="D819" s="5"/>
      <c r="E819" s="6"/>
    </row>
    <row r="820" spans="4:5" x14ac:dyDescent="0.25">
      <c r="D820" s="5"/>
      <c r="E820" s="6"/>
    </row>
    <row r="821" spans="4:5" x14ac:dyDescent="0.25">
      <c r="D821" s="5"/>
      <c r="E821" s="6"/>
    </row>
    <row r="822" spans="4:5" x14ac:dyDescent="0.25">
      <c r="D822" s="5"/>
      <c r="E822" s="6"/>
    </row>
    <row r="823" spans="4:5" x14ac:dyDescent="0.25">
      <c r="D823" s="5"/>
      <c r="E823" s="6"/>
    </row>
    <row r="824" spans="4:5" x14ac:dyDescent="0.25">
      <c r="D824" s="5"/>
      <c r="E824" s="6"/>
    </row>
    <row r="825" spans="4:5" x14ac:dyDescent="0.25">
      <c r="D825" s="5"/>
      <c r="E825" s="6"/>
    </row>
    <row r="826" spans="4:5" x14ac:dyDescent="0.25">
      <c r="D826" s="5"/>
      <c r="E826" s="6"/>
    </row>
    <row r="827" spans="4:5" x14ac:dyDescent="0.25">
      <c r="D827" s="5"/>
      <c r="E827" s="6"/>
    </row>
    <row r="828" spans="4:5" x14ac:dyDescent="0.25">
      <c r="D828" s="5"/>
      <c r="E828" s="6"/>
    </row>
    <row r="829" spans="4:5" x14ac:dyDescent="0.25">
      <c r="D829" s="5"/>
      <c r="E829" s="6"/>
    </row>
    <row r="830" spans="4:5" x14ac:dyDescent="0.25">
      <c r="D830" s="5"/>
      <c r="E830" s="6"/>
    </row>
    <row r="831" spans="4:5" x14ac:dyDescent="0.25">
      <c r="D831" s="5"/>
      <c r="E831" s="6"/>
    </row>
    <row r="832" spans="4:5" x14ac:dyDescent="0.25">
      <c r="D832" s="5"/>
      <c r="E832" s="6"/>
    </row>
    <row r="833" spans="4:5" x14ac:dyDescent="0.25">
      <c r="D833" s="5"/>
      <c r="E833" s="6"/>
    </row>
    <row r="834" spans="4:5" x14ac:dyDescent="0.25">
      <c r="D834" s="5"/>
      <c r="E834" s="6"/>
    </row>
    <row r="835" spans="4:5" x14ac:dyDescent="0.25">
      <c r="D835" s="5"/>
      <c r="E835" s="6"/>
    </row>
    <row r="836" spans="4:5" x14ac:dyDescent="0.25">
      <c r="D836" s="5"/>
      <c r="E836" s="6"/>
    </row>
    <row r="837" spans="4:5" x14ac:dyDescent="0.25">
      <c r="D837" s="5"/>
      <c r="E837" s="6"/>
    </row>
    <row r="838" spans="4:5" x14ac:dyDescent="0.25">
      <c r="D838" s="5"/>
      <c r="E838" s="6"/>
    </row>
    <row r="839" spans="4:5" x14ac:dyDescent="0.25">
      <c r="D839" s="5"/>
      <c r="E839" s="6"/>
    </row>
    <row r="840" spans="4:5" x14ac:dyDescent="0.25">
      <c r="D840" s="5"/>
      <c r="E840" s="6"/>
    </row>
    <row r="841" spans="4:5" x14ac:dyDescent="0.25">
      <c r="D841" s="5"/>
      <c r="E841" s="6"/>
    </row>
    <row r="842" spans="4:5" x14ac:dyDescent="0.25">
      <c r="D842" s="5"/>
      <c r="E842" s="6"/>
    </row>
    <row r="843" spans="4:5" x14ac:dyDescent="0.25">
      <c r="D843" s="5"/>
      <c r="E843" s="6"/>
    </row>
    <row r="844" spans="4:5" x14ac:dyDescent="0.25">
      <c r="D844" s="5"/>
      <c r="E844" s="6"/>
    </row>
    <row r="845" spans="4:5" x14ac:dyDescent="0.25">
      <c r="D845" s="5"/>
      <c r="E845" s="6"/>
    </row>
    <row r="846" spans="4:5" x14ac:dyDescent="0.25">
      <c r="D846" s="5"/>
      <c r="E846" s="6"/>
    </row>
    <row r="847" spans="4:5" x14ac:dyDescent="0.25">
      <c r="D847" s="5"/>
      <c r="E847" s="6"/>
    </row>
    <row r="848" spans="4:5" x14ac:dyDescent="0.25">
      <c r="D848" s="5"/>
      <c r="E848" s="6"/>
    </row>
    <row r="849" spans="4:5" x14ac:dyDescent="0.25">
      <c r="D849" s="5"/>
      <c r="E849" s="6"/>
    </row>
    <row r="850" spans="4:5" x14ac:dyDescent="0.25">
      <c r="D850" s="5"/>
      <c r="E850" s="6"/>
    </row>
    <row r="851" spans="4:5" x14ac:dyDescent="0.25">
      <c r="D851" s="5"/>
      <c r="E851" s="6"/>
    </row>
    <row r="852" spans="4:5" x14ac:dyDescent="0.25">
      <c r="D852" s="5"/>
      <c r="E852" s="6"/>
    </row>
    <row r="853" spans="4:5" x14ac:dyDescent="0.25">
      <c r="D853" s="5"/>
      <c r="E853" s="6"/>
    </row>
    <row r="854" spans="4:5" x14ac:dyDescent="0.25">
      <c r="D854" s="5"/>
      <c r="E854" s="6"/>
    </row>
    <row r="855" spans="4:5" x14ac:dyDescent="0.25">
      <c r="D855" s="5"/>
      <c r="E855" s="6"/>
    </row>
    <row r="856" spans="4:5" x14ac:dyDescent="0.25">
      <c r="D856" s="5"/>
      <c r="E856" s="6"/>
    </row>
    <row r="857" spans="4:5" x14ac:dyDescent="0.25">
      <c r="D857" s="5"/>
      <c r="E857" s="6"/>
    </row>
    <row r="858" spans="4:5" x14ac:dyDescent="0.25">
      <c r="D858" s="5"/>
      <c r="E858" s="6"/>
    </row>
    <row r="859" spans="4:5" x14ac:dyDescent="0.25">
      <c r="D859" s="5"/>
      <c r="E859" s="6"/>
    </row>
    <row r="860" spans="4:5" x14ac:dyDescent="0.25">
      <c r="D860" s="5"/>
      <c r="E860" s="6"/>
    </row>
    <row r="861" spans="4:5" x14ac:dyDescent="0.25">
      <c r="D861" s="5"/>
      <c r="E861" s="6"/>
    </row>
    <row r="862" spans="4:5" x14ac:dyDescent="0.25">
      <c r="D862" s="5"/>
      <c r="E862" s="6"/>
    </row>
    <row r="863" spans="4:5" x14ac:dyDescent="0.25">
      <c r="D863" s="5"/>
      <c r="E863" s="6"/>
    </row>
    <row r="864" spans="4:5" x14ac:dyDescent="0.25">
      <c r="D864" s="5"/>
      <c r="E864" s="6"/>
    </row>
    <row r="865" spans="4:5" x14ac:dyDescent="0.25">
      <c r="D865" s="5"/>
      <c r="E865" s="6"/>
    </row>
    <row r="866" spans="4:5" x14ac:dyDescent="0.25">
      <c r="D866" s="5"/>
      <c r="E866" s="6"/>
    </row>
    <row r="867" spans="4:5" x14ac:dyDescent="0.25">
      <c r="D867" s="5"/>
      <c r="E867" s="6"/>
    </row>
    <row r="868" spans="4:5" x14ac:dyDescent="0.25">
      <c r="D868" s="5"/>
      <c r="E868" s="6"/>
    </row>
    <row r="869" spans="4:5" x14ac:dyDescent="0.25">
      <c r="D869" s="5"/>
      <c r="E869" s="6"/>
    </row>
    <row r="870" spans="4:5" x14ac:dyDescent="0.25">
      <c r="D870" s="5"/>
      <c r="E870" s="6"/>
    </row>
    <row r="871" spans="4:5" x14ac:dyDescent="0.25">
      <c r="D871" s="5"/>
      <c r="E871" s="6"/>
    </row>
    <row r="872" spans="4:5" x14ac:dyDescent="0.25">
      <c r="D872" s="5"/>
      <c r="E872" s="6"/>
    </row>
    <row r="873" spans="4:5" x14ac:dyDescent="0.25">
      <c r="D873" s="5"/>
      <c r="E873" s="6"/>
    </row>
    <row r="874" spans="4:5" x14ac:dyDescent="0.25">
      <c r="D874" s="5"/>
      <c r="E874" s="6"/>
    </row>
    <row r="875" spans="4:5" x14ac:dyDescent="0.25">
      <c r="D875" s="5"/>
      <c r="E875" s="6"/>
    </row>
    <row r="876" spans="4:5" x14ac:dyDescent="0.25">
      <c r="D876" s="5"/>
      <c r="E876" s="6"/>
    </row>
    <row r="877" spans="4:5" x14ac:dyDescent="0.25">
      <c r="D877" s="5"/>
      <c r="E877" s="6"/>
    </row>
    <row r="878" spans="4:5" x14ac:dyDescent="0.25">
      <c r="D878" s="5"/>
      <c r="E878" s="6"/>
    </row>
    <row r="879" spans="4:5" x14ac:dyDescent="0.25">
      <c r="D879" s="5"/>
      <c r="E879" s="6"/>
    </row>
    <row r="880" spans="4:5" x14ac:dyDescent="0.25">
      <c r="D880" s="5"/>
      <c r="E880" s="6"/>
    </row>
    <row r="881" spans="4:5" x14ac:dyDescent="0.25">
      <c r="D881" s="5"/>
      <c r="E881" s="6"/>
    </row>
    <row r="882" spans="4:5" x14ac:dyDescent="0.25">
      <c r="D882" s="5"/>
      <c r="E882" s="6"/>
    </row>
    <row r="883" spans="4:5" x14ac:dyDescent="0.25">
      <c r="D883" s="5"/>
      <c r="E883" s="6"/>
    </row>
    <row r="884" spans="4:5" x14ac:dyDescent="0.25">
      <c r="D884" s="5"/>
      <c r="E884" s="6"/>
    </row>
    <row r="885" spans="4:5" x14ac:dyDescent="0.25">
      <c r="D885" s="5"/>
      <c r="E885" s="6"/>
    </row>
    <row r="886" spans="4:5" x14ac:dyDescent="0.25">
      <c r="D886" s="5"/>
      <c r="E886" s="6"/>
    </row>
    <row r="887" spans="4:5" x14ac:dyDescent="0.25">
      <c r="D887" s="5"/>
      <c r="E887" s="6"/>
    </row>
    <row r="888" spans="4:5" x14ac:dyDescent="0.25">
      <c r="D888" s="5"/>
      <c r="E888" s="6"/>
    </row>
    <row r="889" spans="4:5" x14ac:dyDescent="0.25">
      <c r="D889" s="5"/>
      <c r="E889" s="6"/>
    </row>
    <row r="890" spans="4:5" x14ac:dyDescent="0.25">
      <c r="D890" s="5"/>
      <c r="E890" s="6"/>
    </row>
    <row r="891" spans="4:5" x14ac:dyDescent="0.25">
      <c r="D891" s="5"/>
      <c r="E891" s="6"/>
    </row>
    <row r="892" spans="4:5" x14ac:dyDescent="0.25">
      <c r="D892" s="5"/>
      <c r="E892" s="6"/>
    </row>
    <row r="893" spans="4:5" x14ac:dyDescent="0.25">
      <c r="D893" s="5"/>
      <c r="E893" s="6"/>
    </row>
    <row r="894" spans="4:5" x14ac:dyDescent="0.25">
      <c r="D894" s="5"/>
      <c r="E894" s="6"/>
    </row>
    <row r="895" spans="4:5" x14ac:dyDescent="0.25">
      <c r="D895" s="5"/>
      <c r="E895" s="6"/>
    </row>
    <row r="896" spans="4:5" x14ac:dyDescent="0.25">
      <c r="D896" s="5"/>
      <c r="E896" s="6"/>
    </row>
    <row r="897" spans="4:5" x14ac:dyDescent="0.25">
      <c r="D897" s="5"/>
      <c r="E897" s="6"/>
    </row>
    <row r="898" spans="4:5" x14ac:dyDescent="0.25">
      <c r="D898" s="5"/>
      <c r="E898" s="6"/>
    </row>
    <row r="899" spans="4:5" x14ac:dyDescent="0.25">
      <c r="D899" s="5"/>
      <c r="E899" s="6"/>
    </row>
    <row r="900" spans="4:5" x14ac:dyDescent="0.25">
      <c r="D900" s="5"/>
      <c r="E900" s="6"/>
    </row>
    <row r="901" spans="4:5" x14ac:dyDescent="0.25">
      <c r="D901" s="5"/>
      <c r="E901" s="6"/>
    </row>
    <row r="902" spans="4:5" x14ac:dyDescent="0.25">
      <c r="D902" s="5"/>
      <c r="E902" s="6"/>
    </row>
    <row r="903" spans="4:5" x14ac:dyDescent="0.25">
      <c r="D903" s="5"/>
      <c r="E903" s="6"/>
    </row>
    <row r="904" spans="4:5" x14ac:dyDescent="0.25">
      <c r="D904" s="5"/>
      <c r="E904" s="6"/>
    </row>
    <row r="905" spans="4:5" x14ac:dyDescent="0.25">
      <c r="D905" s="5"/>
      <c r="E905" s="6"/>
    </row>
    <row r="906" spans="4:5" x14ac:dyDescent="0.25">
      <c r="D906" s="5"/>
      <c r="E906" s="6"/>
    </row>
    <row r="907" spans="4:5" x14ac:dyDescent="0.25">
      <c r="D907" s="5"/>
      <c r="E907" s="6"/>
    </row>
    <row r="908" spans="4:5" x14ac:dyDescent="0.25">
      <c r="D908" s="5"/>
      <c r="E908" s="6"/>
    </row>
    <row r="909" spans="4:5" x14ac:dyDescent="0.25">
      <c r="D909" s="5"/>
      <c r="E909" s="6"/>
    </row>
    <row r="910" spans="4:5" x14ac:dyDescent="0.25">
      <c r="D910" s="5"/>
      <c r="E910" s="6"/>
    </row>
    <row r="911" spans="4:5" x14ac:dyDescent="0.25">
      <c r="D911" s="5"/>
      <c r="E911" s="6"/>
    </row>
    <row r="912" spans="4:5" x14ac:dyDescent="0.25">
      <c r="D912" s="5"/>
      <c r="E912" s="6"/>
    </row>
    <row r="913" spans="4:5" x14ac:dyDescent="0.25">
      <c r="D913" s="5"/>
      <c r="E913" s="6"/>
    </row>
    <row r="914" spans="4:5" x14ac:dyDescent="0.25">
      <c r="D914" s="5"/>
      <c r="E914" s="6"/>
    </row>
    <row r="915" spans="4:5" x14ac:dyDescent="0.25">
      <c r="D915" s="5"/>
      <c r="E915" s="6"/>
    </row>
    <row r="916" spans="4:5" x14ac:dyDescent="0.25">
      <c r="D916" s="5"/>
      <c r="E916" s="6"/>
    </row>
    <row r="917" spans="4:5" x14ac:dyDescent="0.25">
      <c r="D917" s="5"/>
      <c r="E917" s="6"/>
    </row>
    <row r="918" spans="4:5" x14ac:dyDescent="0.25">
      <c r="D918" s="5"/>
      <c r="E918" s="6"/>
    </row>
    <row r="919" spans="4:5" x14ac:dyDescent="0.25">
      <c r="D919" s="5"/>
      <c r="E919" s="6"/>
    </row>
    <row r="920" spans="4:5" x14ac:dyDescent="0.25">
      <c r="D920" s="5"/>
      <c r="E920" s="6"/>
    </row>
    <row r="921" spans="4:5" x14ac:dyDescent="0.25">
      <c r="D921" s="5"/>
      <c r="E921" s="6"/>
    </row>
    <row r="922" spans="4:5" x14ac:dyDescent="0.25">
      <c r="D922" s="5"/>
      <c r="E922" s="6"/>
    </row>
    <row r="923" spans="4:5" x14ac:dyDescent="0.25">
      <c r="D923" s="5"/>
      <c r="E923" s="6"/>
    </row>
    <row r="924" spans="4:5" x14ac:dyDescent="0.25">
      <c r="D924" s="5"/>
      <c r="E924" s="6"/>
    </row>
    <row r="925" spans="4:5" x14ac:dyDescent="0.25">
      <c r="D925" s="5"/>
      <c r="E925" s="6"/>
    </row>
    <row r="926" spans="4:5" x14ac:dyDescent="0.25">
      <c r="D926" s="5"/>
      <c r="E926" s="6"/>
    </row>
    <row r="927" spans="4:5" x14ac:dyDescent="0.25">
      <c r="D927" s="5"/>
      <c r="E927" s="6"/>
    </row>
    <row r="928" spans="4:5" x14ac:dyDescent="0.25">
      <c r="D928" s="5"/>
      <c r="E928" s="6"/>
    </row>
    <row r="929" spans="4:5" x14ac:dyDescent="0.25">
      <c r="D929" s="5"/>
      <c r="E929" s="6"/>
    </row>
    <row r="930" spans="4:5" x14ac:dyDescent="0.25">
      <c r="D930" s="5"/>
      <c r="E930" s="6"/>
    </row>
    <row r="931" spans="4:5" x14ac:dyDescent="0.25">
      <c r="D931" s="5"/>
      <c r="E931" s="6"/>
    </row>
    <row r="932" spans="4:5" x14ac:dyDescent="0.25">
      <c r="D932" s="5"/>
      <c r="E932" s="6"/>
    </row>
    <row r="933" spans="4:5" x14ac:dyDescent="0.25">
      <c r="D933" s="5"/>
      <c r="E933" s="6"/>
    </row>
    <row r="934" spans="4:5" x14ac:dyDescent="0.25">
      <c r="D934" s="5"/>
      <c r="E934" s="6"/>
    </row>
    <row r="935" spans="4:5" x14ac:dyDescent="0.25">
      <c r="D935" s="5"/>
      <c r="E935" s="6"/>
    </row>
    <row r="936" spans="4:5" x14ac:dyDescent="0.25">
      <c r="D936" s="5"/>
      <c r="E936" s="6"/>
    </row>
    <row r="937" spans="4:5" x14ac:dyDescent="0.25">
      <c r="D937" s="5"/>
      <c r="E937" s="6"/>
    </row>
    <row r="938" spans="4:5" x14ac:dyDescent="0.25">
      <c r="D938" s="5"/>
      <c r="E938" s="6"/>
    </row>
    <row r="939" spans="4:5" x14ac:dyDescent="0.25">
      <c r="D939" s="5"/>
      <c r="E939" s="6"/>
    </row>
    <row r="940" spans="4:5" x14ac:dyDescent="0.25">
      <c r="D940" s="5"/>
      <c r="E940" s="6"/>
    </row>
    <row r="941" spans="4:5" x14ac:dyDescent="0.25">
      <c r="D941" s="5"/>
      <c r="E941" s="6"/>
    </row>
    <row r="942" spans="4:5" x14ac:dyDescent="0.25">
      <c r="D942" s="5"/>
      <c r="E942" s="6"/>
    </row>
    <row r="943" spans="4:5" x14ac:dyDescent="0.25">
      <c r="D943" s="5"/>
      <c r="E943" s="6"/>
    </row>
    <row r="944" spans="4:5" x14ac:dyDescent="0.25">
      <c r="D944" s="5"/>
      <c r="E944" s="6"/>
    </row>
    <row r="945" spans="4:5" x14ac:dyDescent="0.25">
      <c r="D945" s="5"/>
      <c r="E945" s="6"/>
    </row>
    <row r="946" spans="4:5" x14ac:dyDescent="0.25">
      <c r="D946" s="5"/>
      <c r="E946" s="6"/>
    </row>
    <row r="947" spans="4:5" x14ac:dyDescent="0.25">
      <c r="D947" s="5"/>
      <c r="E947" s="6"/>
    </row>
    <row r="948" spans="4:5" x14ac:dyDescent="0.25">
      <c r="D948" s="5"/>
      <c r="E948" s="6"/>
    </row>
    <row r="949" spans="4:5" x14ac:dyDescent="0.25">
      <c r="D949" s="5"/>
      <c r="E949" s="6"/>
    </row>
    <row r="950" spans="4:5" x14ac:dyDescent="0.25">
      <c r="D950" s="5"/>
      <c r="E950" s="6"/>
    </row>
    <row r="951" spans="4:5" x14ac:dyDescent="0.25">
      <c r="D951" s="5"/>
      <c r="E951" s="6"/>
    </row>
    <row r="952" spans="4:5" x14ac:dyDescent="0.25">
      <c r="D952" s="5"/>
      <c r="E952" s="6"/>
    </row>
    <row r="953" spans="4:5" x14ac:dyDescent="0.25">
      <c r="D953" s="5"/>
      <c r="E953" s="6"/>
    </row>
    <row r="954" spans="4:5" x14ac:dyDescent="0.25">
      <c r="D954" s="5"/>
      <c r="E954" s="6"/>
    </row>
    <row r="955" spans="4:5" x14ac:dyDescent="0.25">
      <c r="D955" s="5"/>
      <c r="E955" s="6"/>
    </row>
    <row r="956" spans="4:5" x14ac:dyDescent="0.25">
      <c r="D956" s="5"/>
      <c r="E956" s="6"/>
    </row>
    <row r="957" spans="4:5" x14ac:dyDescent="0.25">
      <c r="D957" s="5"/>
      <c r="E957" s="6"/>
    </row>
    <row r="958" spans="4:5" x14ac:dyDescent="0.25">
      <c r="D958" s="5"/>
      <c r="E958" s="6"/>
    </row>
    <row r="959" spans="4:5" x14ac:dyDescent="0.25">
      <c r="D959" s="5"/>
      <c r="E959" s="6"/>
    </row>
    <row r="960" spans="4:5" x14ac:dyDescent="0.25">
      <c r="D960" s="5"/>
      <c r="E960" s="6"/>
    </row>
    <row r="961" spans="4:5" x14ac:dyDescent="0.25">
      <c r="D961" s="5"/>
      <c r="E961" s="6"/>
    </row>
    <row r="962" spans="4:5" x14ac:dyDescent="0.25">
      <c r="D962" s="5"/>
      <c r="E962" s="6"/>
    </row>
    <row r="963" spans="4:5" x14ac:dyDescent="0.25">
      <c r="D963" s="5"/>
      <c r="E963" s="6"/>
    </row>
    <row r="964" spans="4:5" x14ac:dyDescent="0.25">
      <c r="D964" s="5"/>
      <c r="E964" s="6"/>
    </row>
    <row r="965" spans="4:5" x14ac:dyDescent="0.25">
      <c r="D965" s="5"/>
      <c r="E965" s="6"/>
    </row>
    <row r="966" spans="4:5" x14ac:dyDescent="0.25">
      <c r="D966" s="5"/>
      <c r="E966" s="6"/>
    </row>
    <row r="967" spans="4:5" x14ac:dyDescent="0.25">
      <c r="D967" s="5"/>
      <c r="E967" s="6"/>
    </row>
    <row r="968" spans="4:5" x14ac:dyDescent="0.25">
      <c r="D968" s="5"/>
      <c r="E968" s="6"/>
    </row>
    <row r="969" spans="4:5" x14ac:dyDescent="0.25">
      <c r="D969" s="5"/>
      <c r="E969" s="6"/>
    </row>
    <row r="970" spans="4:5" x14ac:dyDescent="0.25">
      <c r="D970" s="5"/>
      <c r="E970" s="6"/>
    </row>
    <row r="971" spans="4:5" x14ac:dyDescent="0.25">
      <c r="D971" s="5"/>
      <c r="E971" s="6"/>
    </row>
    <row r="972" spans="4:5" x14ac:dyDescent="0.25">
      <c r="D972" s="5"/>
      <c r="E972" s="6"/>
    </row>
    <row r="973" spans="4:5" x14ac:dyDescent="0.25">
      <c r="D973" s="5"/>
      <c r="E973" s="6"/>
    </row>
    <row r="974" spans="4:5" x14ac:dyDescent="0.25">
      <c r="D974" s="5"/>
      <c r="E974" s="6"/>
    </row>
    <row r="975" spans="4:5" x14ac:dyDescent="0.25">
      <c r="D975" s="5"/>
      <c r="E975" s="6"/>
    </row>
    <row r="976" spans="4:5" x14ac:dyDescent="0.25">
      <c r="D976" s="5"/>
      <c r="E976" s="6"/>
    </row>
    <row r="977" spans="4:5" x14ac:dyDescent="0.25">
      <c r="D977" s="5"/>
      <c r="E977" s="6"/>
    </row>
    <row r="978" spans="4:5" x14ac:dyDescent="0.25">
      <c r="D978" s="5"/>
      <c r="E978" s="6"/>
    </row>
    <row r="979" spans="4:5" x14ac:dyDescent="0.25">
      <c r="D979" s="5"/>
      <c r="E979" s="6"/>
    </row>
    <row r="980" spans="4:5" x14ac:dyDescent="0.25">
      <c r="D980" s="5"/>
      <c r="E980" s="6"/>
    </row>
    <row r="981" spans="4:5" x14ac:dyDescent="0.25">
      <c r="D981" s="5"/>
      <c r="E981" s="6"/>
    </row>
    <row r="982" spans="4:5" x14ac:dyDescent="0.25">
      <c r="D982" s="5"/>
      <c r="E982" s="6"/>
    </row>
    <row r="983" spans="4:5" x14ac:dyDescent="0.25">
      <c r="D983" s="5"/>
      <c r="E983" s="6"/>
    </row>
    <row r="984" spans="4:5" x14ac:dyDescent="0.25">
      <c r="D984" s="5"/>
      <c r="E984" s="6"/>
    </row>
    <row r="985" spans="4:5" x14ac:dyDescent="0.25">
      <c r="D985" s="5"/>
      <c r="E985" s="6"/>
    </row>
    <row r="986" spans="4:5" x14ac:dyDescent="0.25">
      <c r="D986" s="5"/>
      <c r="E986" s="6"/>
    </row>
    <row r="987" spans="4:5" x14ac:dyDescent="0.25">
      <c r="D987" s="5"/>
      <c r="E987" s="6"/>
    </row>
    <row r="988" spans="4:5" x14ac:dyDescent="0.25">
      <c r="D988" s="5"/>
      <c r="E988" s="6"/>
    </row>
    <row r="989" spans="4:5" x14ac:dyDescent="0.25">
      <c r="D989" s="5"/>
      <c r="E989" s="6"/>
    </row>
    <row r="990" spans="4:5" x14ac:dyDescent="0.25">
      <c r="D990" s="5"/>
      <c r="E990" s="6"/>
    </row>
    <row r="991" spans="4:5" x14ac:dyDescent="0.25">
      <c r="D991" s="5"/>
      <c r="E991" s="6"/>
    </row>
    <row r="992" spans="4:5" x14ac:dyDescent="0.25">
      <c r="D992" s="5"/>
      <c r="E992" s="6"/>
    </row>
    <row r="993" spans="4:5" x14ac:dyDescent="0.25">
      <c r="D993" s="5"/>
      <c r="E993" s="6"/>
    </row>
    <row r="994" spans="4:5" x14ac:dyDescent="0.25">
      <c r="D994" s="5"/>
      <c r="E994" s="6"/>
    </row>
    <row r="995" spans="4:5" x14ac:dyDescent="0.25">
      <c r="D995" s="5"/>
      <c r="E995" s="6"/>
    </row>
    <row r="996" spans="4:5" x14ac:dyDescent="0.25">
      <c r="D996" s="5"/>
      <c r="E996" s="6"/>
    </row>
    <row r="997" spans="4:5" x14ac:dyDescent="0.25">
      <c r="D997" s="5"/>
      <c r="E997" s="6"/>
    </row>
    <row r="998" spans="4:5" x14ac:dyDescent="0.25">
      <c r="D998" s="5"/>
      <c r="E998" s="6"/>
    </row>
    <row r="999" spans="4:5" x14ac:dyDescent="0.25">
      <c r="D999" s="5"/>
      <c r="E999" s="6"/>
    </row>
    <row r="1000" spans="4:5" x14ac:dyDescent="0.25">
      <c r="D1000" s="5"/>
      <c r="E1000" s="6"/>
    </row>
    <row r="1001" spans="4:5" x14ac:dyDescent="0.25">
      <c r="D1001" s="5"/>
      <c r="E1001" s="6"/>
    </row>
    <row r="1002" spans="4:5" x14ac:dyDescent="0.25">
      <c r="D1002" s="5"/>
      <c r="E1002" s="6"/>
    </row>
    <row r="1003" spans="4:5" x14ac:dyDescent="0.25">
      <c r="D1003" s="5"/>
      <c r="E1003" s="6"/>
    </row>
    <row r="1004" spans="4:5" x14ac:dyDescent="0.25">
      <c r="D1004" s="5"/>
      <c r="E1004" s="6"/>
    </row>
    <row r="1005" spans="4:5" x14ac:dyDescent="0.25">
      <c r="D1005" s="5"/>
      <c r="E1005" s="6"/>
    </row>
    <row r="1006" spans="4:5" x14ac:dyDescent="0.25">
      <c r="D1006" s="5"/>
      <c r="E1006" s="6"/>
    </row>
    <row r="1007" spans="4:5" x14ac:dyDescent="0.25">
      <c r="D1007" s="5"/>
      <c r="E1007" s="6"/>
    </row>
    <row r="1008" spans="4:5" x14ac:dyDescent="0.25">
      <c r="D1008" s="5"/>
      <c r="E1008" s="6"/>
    </row>
    <row r="1009" spans="4:5" x14ac:dyDescent="0.25">
      <c r="D1009" s="5"/>
      <c r="E1009" s="6"/>
    </row>
    <row r="1010" spans="4:5" x14ac:dyDescent="0.25">
      <c r="D1010" s="5"/>
      <c r="E1010" s="6"/>
    </row>
    <row r="1011" spans="4:5" x14ac:dyDescent="0.25">
      <c r="D1011" s="5"/>
      <c r="E1011" s="6"/>
    </row>
    <row r="1012" spans="4:5" x14ac:dyDescent="0.25">
      <c r="D1012" s="5"/>
      <c r="E1012" s="6"/>
    </row>
    <row r="1013" spans="4:5" x14ac:dyDescent="0.25">
      <c r="D1013" s="5"/>
      <c r="E1013" s="6"/>
    </row>
    <row r="1014" spans="4:5" x14ac:dyDescent="0.25">
      <c r="D1014" s="5"/>
      <c r="E1014" s="6"/>
    </row>
    <row r="1015" spans="4:5" x14ac:dyDescent="0.25">
      <c r="D1015" s="5"/>
      <c r="E1015" s="6"/>
    </row>
    <row r="1016" spans="4:5" x14ac:dyDescent="0.25">
      <c r="D1016" s="5"/>
      <c r="E1016" s="6"/>
    </row>
    <row r="1017" spans="4:5" x14ac:dyDescent="0.25">
      <c r="D1017" s="5"/>
      <c r="E1017" s="6"/>
    </row>
    <row r="1018" spans="4:5" x14ac:dyDescent="0.25">
      <c r="D1018" s="5"/>
      <c r="E1018" s="6"/>
    </row>
    <row r="1019" spans="4:5" x14ac:dyDescent="0.25">
      <c r="D1019" s="5"/>
      <c r="E1019" s="6"/>
    </row>
    <row r="1020" spans="4:5" x14ac:dyDescent="0.25">
      <c r="D1020" s="5"/>
      <c r="E1020" s="6"/>
    </row>
    <row r="1021" spans="4:5" x14ac:dyDescent="0.25">
      <c r="D1021" s="5"/>
      <c r="E1021" s="6"/>
    </row>
    <row r="1022" spans="4:5" x14ac:dyDescent="0.25">
      <c r="D1022" s="5"/>
      <c r="E1022" s="6"/>
    </row>
    <row r="1023" spans="4:5" x14ac:dyDescent="0.25">
      <c r="D1023" s="5"/>
      <c r="E1023" s="6"/>
    </row>
    <row r="1024" spans="4:5" x14ac:dyDescent="0.25">
      <c r="D1024" s="5"/>
      <c r="E1024" s="6"/>
    </row>
    <row r="1025" spans="4:5" x14ac:dyDescent="0.25">
      <c r="D1025" s="5"/>
      <c r="E1025" s="6"/>
    </row>
    <row r="1026" spans="4:5" x14ac:dyDescent="0.25">
      <c r="D1026" s="5"/>
      <c r="E1026" s="6"/>
    </row>
    <row r="1027" spans="4:5" x14ac:dyDescent="0.25">
      <c r="D1027" s="5"/>
      <c r="E1027" s="6"/>
    </row>
    <row r="1028" spans="4:5" x14ac:dyDescent="0.25">
      <c r="D1028" s="5"/>
      <c r="E1028" s="6"/>
    </row>
    <row r="1029" spans="4:5" x14ac:dyDescent="0.25">
      <c r="D1029" s="5"/>
      <c r="E1029" s="6"/>
    </row>
    <row r="1030" spans="4:5" x14ac:dyDescent="0.25">
      <c r="D1030" s="5"/>
      <c r="E1030" s="6"/>
    </row>
    <row r="1031" spans="4:5" x14ac:dyDescent="0.25">
      <c r="D1031" s="5"/>
      <c r="E1031" s="6"/>
    </row>
    <row r="1032" spans="4:5" x14ac:dyDescent="0.25">
      <c r="D1032" s="5"/>
      <c r="E1032" s="6"/>
    </row>
    <row r="1033" spans="4:5" x14ac:dyDescent="0.25">
      <c r="D1033" s="5"/>
      <c r="E1033" s="6"/>
    </row>
    <row r="1034" spans="4:5" x14ac:dyDescent="0.25">
      <c r="D1034" s="5"/>
      <c r="E1034" s="6"/>
    </row>
    <row r="1035" spans="4:5" x14ac:dyDescent="0.25">
      <c r="D1035" s="5"/>
      <c r="E1035" s="6"/>
    </row>
    <row r="1036" spans="4:5" x14ac:dyDescent="0.25">
      <c r="D1036" s="5"/>
      <c r="E1036" s="6"/>
    </row>
    <row r="1037" spans="4:5" x14ac:dyDescent="0.25">
      <c r="D1037" s="5"/>
      <c r="E1037" s="6"/>
    </row>
    <row r="1038" spans="4:5" x14ac:dyDescent="0.25">
      <c r="D1038" s="5"/>
      <c r="E1038" s="6"/>
    </row>
    <row r="1039" spans="4:5" x14ac:dyDescent="0.25">
      <c r="D1039" s="5"/>
      <c r="E1039" s="6"/>
    </row>
    <row r="1040" spans="4:5" x14ac:dyDescent="0.25">
      <c r="D1040" s="5"/>
      <c r="E1040" s="6"/>
    </row>
    <row r="1041" spans="4:5" x14ac:dyDescent="0.25">
      <c r="D1041" s="5"/>
      <c r="E1041" s="6"/>
    </row>
    <row r="1042" spans="4:5" x14ac:dyDescent="0.25">
      <c r="D1042" s="5"/>
      <c r="E1042" s="6"/>
    </row>
    <row r="1043" spans="4:5" x14ac:dyDescent="0.25">
      <c r="D1043" s="5"/>
      <c r="E1043" s="6"/>
    </row>
    <row r="1044" spans="4:5" x14ac:dyDescent="0.25">
      <c r="D1044" s="5"/>
      <c r="E1044" s="6"/>
    </row>
    <row r="1045" spans="4:5" x14ac:dyDescent="0.25">
      <c r="D1045" s="5"/>
      <c r="E1045" s="6"/>
    </row>
    <row r="1046" spans="4:5" x14ac:dyDescent="0.25">
      <c r="D1046" s="5"/>
      <c r="E1046" s="6"/>
    </row>
    <row r="1047" spans="4:5" x14ac:dyDescent="0.25">
      <c r="D1047" s="5"/>
      <c r="E1047" s="6"/>
    </row>
    <row r="1048" spans="4:5" x14ac:dyDescent="0.25">
      <c r="D1048" s="5"/>
      <c r="E1048" s="6"/>
    </row>
    <row r="1049" spans="4:5" x14ac:dyDescent="0.25">
      <c r="D1049" s="5"/>
      <c r="E1049" s="6"/>
    </row>
    <row r="1050" spans="4:5" x14ac:dyDescent="0.25">
      <c r="D1050" s="5"/>
      <c r="E1050" s="6"/>
    </row>
    <row r="1051" spans="4:5" x14ac:dyDescent="0.25">
      <c r="D1051" s="5"/>
      <c r="E1051" s="6"/>
    </row>
    <row r="1052" spans="4:5" x14ac:dyDescent="0.25">
      <c r="D1052" s="5"/>
      <c r="E1052" s="6"/>
    </row>
    <row r="1053" spans="4:5" x14ac:dyDescent="0.25">
      <c r="D1053" s="5"/>
      <c r="E1053" s="6"/>
    </row>
    <row r="1054" spans="4:5" x14ac:dyDescent="0.25">
      <c r="D1054" s="5"/>
      <c r="E1054" s="6"/>
    </row>
    <row r="1055" spans="4:5" x14ac:dyDescent="0.25">
      <c r="D1055" s="5"/>
      <c r="E1055" s="6"/>
    </row>
    <row r="1056" spans="4:5" x14ac:dyDescent="0.25">
      <c r="D1056" s="5"/>
      <c r="E1056" s="6"/>
    </row>
    <row r="1057" spans="4:5" x14ac:dyDescent="0.25">
      <c r="D1057" s="5"/>
      <c r="E1057" s="6"/>
    </row>
    <row r="1058" spans="4:5" x14ac:dyDescent="0.25">
      <c r="D1058" s="5"/>
      <c r="E1058" s="6"/>
    </row>
    <row r="1059" spans="4:5" x14ac:dyDescent="0.25">
      <c r="D1059" s="5"/>
      <c r="E1059" s="6"/>
    </row>
    <row r="1060" spans="4:5" x14ac:dyDescent="0.25">
      <c r="D1060" s="5"/>
      <c r="E1060" s="6"/>
    </row>
    <row r="1061" spans="4:5" x14ac:dyDescent="0.25">
      <c r="D1061" s="5"/>
      <c r="E1061" s="6"/>
    </row>
    <row r="1062" spans="4:5" x14ac:dyDescent="0.25">
      <c r="D1062" s="5"/>
      <c r="E1062" s="6"/>
    </row>
    <row r="1063" spans="4:5" x14ac:dyDescent="0.25">
      <c r="D1063" s="5"/>
      <c r="E1063" s="6"/>
    </row>
    <row r="1064" spans="4:5" x14ac:dyDescent="0.25">
      <c r="D1064" s="5"/>
      <c r="E1064" s="6"/>
    </row>
    <row r="1065" spans="4:5" x14ac:dyDescent="0.25">
      <c r="D1065" s="5"/>
      <c r="E1065" s="6"/>
    </row>
    <row r="1066" spans="4:5" x14ac:dyDescent="0.25">
      <c r="D1066" s="5"/>
      <c r="E1066" s="6"/>
    </row>
    <row r="1067" spans="4:5" x14ac:dyDescent="0.25">
      <c r="D1067" s="5"/>
      <c r="E1067" s="6"/>
    </row>
    <row r="1068" spans="4:5" x14ac:dyDescent="0.25">
      <c r="D1068" s="5"/>
    </row>
    <row r="1069" spans="4:5" x14ac:dyDescent="0.25">
      <c r="D1069" s="5"/>
    </row>
    <row r="1070" spans="4:5" x14ac:dyDescent="0.25">
      <c r="D1070" s="5"/>
    </row>
    <row r="1071" spans="4:5" x14ac:dyDescent="0.25">
      <c r="D1071" s="5"/>
    </row>
    <row r="1072" spans="4:5" x14ac:dyDescent="0.25">
      <c r="D1072" s="5"/>
    </row>
    <row r="1073" spans="4:4" x14ac:dyDescent="0.25">
      <c r="D1073" s="5"/>
    </row>
    <row r="1074" spans="4:4" x14ac:dyDescent="0.25">
      <c r="D1074" s="5"/>
    </row>
    <row r="1075" spans="4:4" x14ac:dyDescent="0.25">
      <c r="D1075" s="5"/>
    </row>
    <row r="1076" spans="4:4" x14ac:dyDescent="0.25">
      <c r="D1076" s="5"/>
    </row>
    <row r="1077" spans="4:4" x14ac:dyDescent="0.25">
      <c r="D1077" s="5"/>
    </row>
    <row r="1078" spans="4:4" x14ac:dyDescent="0.25">
      <c r="D1078" s="5"/>
    </row>
    <row r="1079" spans="4:4" x14ac:dyDescent="0.25">
      <c r="D1079" s="5"/>
    </row>
    <row r="1080" spans="4:4" x14ac:dyDescent="0.25">
      <c r="D1080" s="5"/>
    </row>
    <row r="1081" spans="4:4" x14ac:dyDescent="0.25">
      <c r="D1081" s="5"/>
    </row>
    <row r="1082" spans="4:4" x14ac:dyDescent="0.25">
      <c r="D1082" s="5"/>
    </row>
    <row r="1083" spans="4:4" x14ac:dyDescent="0.25">
      <c r="D1083" s="5"/>
    </row>
    <row r="1084" spans="4:4" x14ac:dyDescent="0.25">
      <c r="D1084" s="5"/>
    </row>
    <row r="1085" spans="4:4" x14ac:dyDescent="0.25">
      <c r="D1085" s="5"/>
    </row>
    <row r="1086" spans="4:4" x14ac:dyDescent="0.25">
      <c r="D1086" s="5"/>
    </row>
    <row r="1087" spans="4:4" x14ac:dyDescent="0.25">
      <c r="D1087" s="5"/>
    </row>
    <row r="1088" spans="4:4" x14ac:dyDescent="0.25">
      <c r="D1088" s="5"/>
    </row>
    <row r="1089" spans="4:4" x14ac:dyDescent="0.25">
      <c r="D1089" s="5"/>
    </row>
    <row r="1090" spans="4:4" x14ac:dyDescent="0.25">
      <c r="D1090" s="5"/>
    </row>
    <row r="1091" spans="4:4" x14ac:dyDescent="0.25">
      <c r="D1091" s="5"/>
    </row>
    <row r="1092" spans="4:4" x14ac:dyDescent="0.25">
      <c r="D1092" s="5"/>
    </row>
    <row r="1093" spans="4:4" x14ac:dyDescent="0.25">
      <c r="D1093" s="5"/>
    </row>
    <row r="1094" spans="4:4" x14ac:dyDescent="0.25">
      <c r="D1094" s="5"/>
    </row>
    <row r="1095" spans="4:4" x14ac:dyDescent="0.25">
      <c r="D1095" s="5"/>
    </row>
    <row r="1096" spans="4:4" x14ac:dyDescent="0.25">
      <c r="D1096" s="5"/>
    </row>
    <row r="1097" spans="4:4" x14ac:dyDescent="0.25">
      <c r="D1097" s="5"/>
    </row>
    <row r="1098" spans="4:4" x14ac:dyDescent="0.25">
      <c r="D1098" s="5"/>
    </row>
    <row r="1099" spans="4:4" x14ac:dyDescent="0.25">
      <c r="D1099" s="5"/>
    </row>
    <row r="1100" spans="4:4" x14ac:dyDescent="0.25">
      <c r="D1100" s="5"/>
    </row>
    <row r="1101" spans="4:4" x14ac:dyDescent="0.25">
      <c r="D1101" s="5"/>
    </row>
    <row r="1102" spans="4:4" x14ac:dyDescent="0.25">
      <c r="D1102" s="5"/>
    </row>
    <row r="1103" spans="4:4" x14ac:dyDescent="0.25">
      <c r="D1103" s="5"/>
    </row>
    <row r="1104" spans="4:4" x14ac:dyDescent="0.25">
      <c r="D1104" s="5"/>
    </row>
    <row r="1105" spans="4:4" x14ac:dyDescent="0.25">
      <c r="D1105" s="5"/>
    </row>
    <row r="1106" spans="4:4" x14ac:dyDescent="0.25">
      <c r="D1106" s="5"/>
    </row>
    <row r="1107" spans="4:4" x14ac:dyDescent="0.25">
      <c r="D1107" s="5"/>
    </row>
    <row r="1108" spans="4:4" x14ac:dyDescent="0.25">
      <c r="D1108" s="5"/>
    </row>
    <row r="1109" spans="4:4" x14ac:dyDescent="0.25">
      <c r="D1109" s="5"/>
    </row>
    <row r="1110" spans="4:4" x14ac:dyDescent="0.25">
      <c r="D1110" s="5"/>
    </row>
    <row r="1111" spans="4:4" x14ac:dyDescent="0.25">
      <c r="D1111" s="5"/>
    </row>
    <row r="1112" spans="4:4" x14ac:dyDescent="0.25">
      <c r="D1112" s="5"/>
    </row>
    <row r="1113" spans="4:4" x14ac:dyDescent="0.25">
      <c r="D1113" s="5"/>
    </row>
    <row r="1114" spans="4:4" x14ac:dyDescent="0.25">
      <c r="D1114" s="5"/>
    </row>
    <row r="1115" spans="4:4" x14ac:dyDescent="0.25">
      <c r="D1115" s="5"/>
    </row>
    <row r="1116" spans="4:4" x14ac:dyDescent="0.25">
      <c r="D1116" s="5"/>
    </row>
    <row r="1117" spans="4:4" x14ac:dyDescent="0.25">
      <c r="D1117" s="5"/>
    </row>
    <row r="1118" spans="4:4" x14ac:dyDescent="0.25">
      <c r="D1118" s="5"/>
    </row>
    <row r="1119" spans="4:4" x14ac:dyDescent="0.25">
      <c r="D1119" s="5"/>
    </row>
    <row r="1120" spans="4:4" x14ac:dyDescent="0.25">
      <c r="D1120" s="5"/>
    </row>
    <row r="1121" spans="4:4" x14ac:dyDescent="0.25">
      <c r="D1121" s="5"/>
    </row>
    <row r="1122" spans="4:4" x14ac:dyDescent="0.25">
      <c r="D1122" s="5"/>
    </row>
    <row r="1123" spans="4:4" x14ac:dyDescent="0.25">
      <c r="D1123" s="5"/>
    </row>
    <row r="1124" spans="4:4" x14ac:dyDescent="0.25">
      <c r="D1124" s="5"/>
    </row>
    <row r="1125" spans="4:4" x14ac:dyDescent="0.25">
      <c r="D1125" s="5"/>
    </row>
    <row r="1126" spans="4:4" x14ac:dyDescent="0.25">
      <c r="D1126" s="5"/>
    </row>
    <row r="1127" spans="4:4" x14ac:dyDescent="0.25">
      <c r="D1127" s="5"/>
    </row>
    <row r="1128" spans="4:4" x14ac:dyDescent="0.25">
      <c r="D1128" s="5"/>
    </row>
    <row r="1129" spans="4:4" x14ac:dyDescent="0.25">
      <c r="D1129" s="5"/>
    </row>
    <row r="1130" spans="4:4" x14ac:dyDescent="0.25">
      <c r="D1130" s="5"/>
    </row>
    <row r="1131" spans="4:4" x14ac:dyDescent="0.25">
      <c r="D1131" s="5"/>
    </row>
    <row r="1132" spans="4:4" x14ac:dyDescent="0.25">
      <c r="D1132" s="5"/>
    </row>
    <row r="1133" spans="4:4" x14ac:dyDescent="0.25">
      <c r="D1133" s="5"/>
    </row>
    <row r="1134" spans="4:4" x14ac:dyDescent="0.25">
      <c r="D1134" s="5"/>
    </row>
    <row r="1135" spans="4:4" x14ac:dyDescent="0.25">
      <c r="D1135" s="5"/>
    </row>
    <row r="1136" spans="4:4" x14ac:dyDescent="0.25">
      <c r="D1136" s="5"/>
    </row>
    <row r="1137" spans="4:4" x14ac:dyDescent="0.25">
      <c r="D1137" s="5"/>
    </row>
    <row r="1138" spans="4:4" x14ac:dyDescent="0.25">
      <c r="D1138" s="5"/>
    </row>
    <row r="1139" spans="4:4" x14ac:dyDescent="0.25">
      <c r="D1139" s="5"/>
    </row>
    <row r="1140" spans="4:4" x14ac:dyDescent="0.25">
      <c r="D1140" s="5"/>
    </row>
  </sheetData>
  <autoFilter ref="A5:Y330" xr:uid="{F13DCE6E-7442-4F6D-8D34-E8FC10B1D7CF}"/>
  <sortState xmlns:xlrd2="http://schemas.microsoft.com/office/spreadsheetml/2017/richdata2" ref="A6:Y330">
    <sortCondition ref="B6:B330"/>
    <sortCondition ref="C6:C330"/>
  </sortState>
  <mergeCells count="11">
    <mergeCell ref="P3:Q3"/>
    <mergeCell ref="R3:S3"/>
    <mergeCell ref="X3:Y3"/>
    <mergeCell ref="D3:E3"/>
    <mergeCell ref="F3:G3"/>
    <mergeCell ref="H3:I3"/>
    <mergeCell ref="J3:K3"/>
    <mergeCell ref="L3:M3"/>
    <mergeCell ref="N3:O3"/>
    <mergeCell ref="T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McLean</dc:creator>
  <cp:lastModifiedBy>Becky McLean</cp:lastModifiedBy>
  <dcterms:created xsi:type="dcterms:W3CDTF">2025-04-17T20:21:16Z</dcterms:created>
  <dcterms:modified xsi:type="dcterms:W3CDTF">2025-12-10T21:10:00Z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2025-04-17T20:37:17Z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43c6f289-6345-4c27-83d6-bf590ced8b1f</vt:lpwstr>
  </property>
  <property fmtid="{D5CDD505-2E9C-101B-9397-08002B2CF9AE}" pid="8" name="MSIP_Label_9145f431-4c8c-42c6-a5a5-ba6d3bdea585_ContentBits">
    <vt:lpwstr>0</vt:lpwstr>
  </property>
  <property fmtid="{D5CDD505-2E9C-101B-9397-08002B2CF9AE}" pid="9" name="MSIP_Label_9145f431-4c8c-42c6-a5a5-ba6d3bdea585_Tag">
    <vt:lpwstr>10, 3, 0, 1</vt:lpwstr>
  </property>
</Properties>
</file>