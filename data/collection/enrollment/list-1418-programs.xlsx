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pportionment_NEW\Enrollment\Extracts\25-26\"/>
    </mc:Choice>
  </mc:AlternateContent>
  <xr:revisionPtr revIDLastSave="0" documentId="13_ncr:1_{80FFD653-FB71-4259-A451-B0C0AC364D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" sheetId="1" r:id="rId1"/>
  </sheets>
  <definedNames>
    <definedName name="_xlnm._FilterDatabase" localSheetId="0" hidden="1">List!$A$6:$FR$187</definedName>
    <definedName name="_xlnm.Print_Titles" localSheetId="0">List!$4:$5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Q58" i="1"/>
  <c r="Q57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1" i="1"/>
  <c r="Q10" i="1"/>
  <c r="Q9" i="1"/>
  <c r="Q8" i="1"/>
  <c r="Q7" i="1"/>
  <c r="D184" i="1"/>
  <c r="D181" i="1"/>
  <c r="D180" i="1"/>
  <c r="D179" i="1"/>
  <c r="D178" i="1"/>
  <c r="D177" i="1"/>
  <c r="D176" i="1"/>
  <c r="D172" i="1"/>
  <c r="D169" i="1"/>
  <c r="D165" i="1"/>
  <c r="D164" i="1"/>
  <c r="D159" i="1"/>
  <c r="D158" i="1"/>
  <c r="D157" i="1"/>
  <c r="D156" i="1"/>
  <c r="D153" i="1"/>
  <c r="D152" i="1"/>
  <c r="D147" i="1"/>
  <c r="D146" i="1"/>
  <c r="D145" i="1"/>
  <c r="D144" i="1"/>
  <c r="D141" i="1"/>
  <c r="D140" i="1"/>
  <c r="D135" i="1"/>
  <c r="D134" i="1"/>
  <c r="D133" i="1"/>
  <c r="D132" i="1"/>
  <c r="D129" i="1"/>
  <c r="D128" i="1"/>
  <c r="D123" i="1"/>
  <c r="D122" i="1"/>
  <c r="D121" i="1"/>
  <c r="D120" i="1"/>
  <c r="D117" i="1"/>
  <c r="D116" i="1"/>
  <c r="D111" i="1"/>
  <c r="D110" i="1"/>
  <c r="D109" i="1"/>
  <c r="D108" i="1"/>
  <c r="D105" i="1"/>
  <c r="D104" i="1"/>
  <c r="D99" i="1"/>
  <c r="D98" i="1"/>
  <c r="D97" i="1"/>
  <c r="D96" i="1"/>
  <c r="D93" i="1"/>
  <c r="D92" i="1"/>
  <c r="D87" i="1"/>
  <c r="D86" i="1"/>
  <c r="D85" i="1"/>
  <c r="D84" i="1"/>
  <c r="D81" i="1"/>
  <c r="D80" i="1"/>
  <c r="D75" i="1"/>
  <c r="D74" i="1"/>
  <c r="D73" i="1"/>
  <c r="D72" i="1"/>
  <c r="D69" i="1"/>
  <c r="D68" i="1"/>
  <c r="D63" i="1"/>
  <c r="D62" i="1"/>
  <c r="D61" i="1"/>
  <c r="D60" i="1"/>
  <c r="D55" i="1"/>
  <c r="D54" i="1"/>
  <c r="D53" i="1"/>
  <c r="D52" i="1"/>
  <c r="D51" i="1"/>
  <c r="D49" i="1"/>
  <c r="D48" i="1"/>
  <c r="D43" i="1"/>
  <c r="D42" i="1"/>
  <c r="D41" i="1"/>
  <c r="D40" i="1"/>
  <c r="D39" i="1"/>
  <c r="D37" i="1"/>
  <c r="D36" i="1"/>
  <c r="D31" i="1"/>
  <c r="D30" i="1"/>
  <c r="D29" i="1"/>
  <c r="D28" i="1"/>
  <c r="D27" i="1"/>
  <c r="D25" i="1"/>
  <c r="D24" i="1"/>
  <c r="D19" i="1"/>
  <c r="D18" i="1"/>
  <c r="D17" i="1"/>
  <c r="D16" i="1"/>
  <c r="D15" i="1"/>
  <c r="D13" i="1"/>
  <c r="D12" i="1"/>
  <c r="D8" i="1"/>
  <c r="D187" i="1"/>
  <c r="D186" i="1"/>
  <c r="D185" i="1"/>
  <c r="D183" i="1"/>
  <c r="D182" i="1"/>
  <c r="D175" i="1"/>
  <c r="D174" i="1"/>
  <c r="D173" i="1"/>
  <c r="D171" i="1"/>
  <c r="D170" i="1"/>
  <c r="D167" i="1"/>
  <c r="D166" i="1"/>
  <c r="D163" i="1"/>
  <c r="D162" i="1"/>
  <c r="D161" i="1"/>
  <c r="D160" i="1"/>
  <c r="D155" i="1"/>
  <c r="D154" i="1"/>
  <c r="D151" i="1"/>
  <c r="D150" i="1"/>
  <c r="D149" i="1"/>
  <c r="D148" i="1"/>
  <c r="D143" i="1"/>
  <c r="D142" i="1"/>
  <c r="D139" i="1"/>
  <c r="D138" i="1"/>
  <c r="D137" i="1"/>
  <c r="D136" i="1"/>
  <c r="D131" i="1"/>
  <c r="D130" i="1"/>
  <c r="D127" i="1"/>
  <c r="D126" i="1"/>
  <c r="D125" i="1"/>
  <c r="D124" i="1"/>
  <c r="D119" i="1"/>
  <c r="D118" i="1"/>
  <c r="D115" i="1"/>
  <c r="D114" i="1"/>
  <c r="D113" i="1"/>
  <c r="D112" i="1"/>
  <c r="D107" i="1"/>
  <c r="D106" i="1"/>
  <c r="D103" i="1"/>
  <c r="D102" i="1"/>
  <c r="D101" i="1"/>
  <c r="D100" i="1"/>
  <c r="D95" i="1"/>
  <c r="D94" i="1"/>
  <c r="D91" i="1"/>
  <c r="D90" i="1"/>
  <c r="D89" i="1"/>
  <c r="D88" i="1"/>
  <c r="D83" i="1"/>
  <c r="D82" i="1"/>
  <c r="D79" i="1"/>
  <c r="D78" i="1"/>
  <c r="D77" i="1"/>
  <c r="D76" i="1"/>
  <c r="D71" i="1"/>
  <c r="D70" i="1"/>
  <c r="D67" i="1"/>
  <c r="D66" i="1"/>
  <c r="D65" i="1"/>
  <c r="D64" i="1"/>
  <c r="D58" i="1"/>
  <c r="D57" i="1"/>
  <c r="D50" i="1"/>
  <c r="D47" i="1"/>
  <c r="D46" i="1"/>
  <c r="D45" i="1"/>
  <c r="D44" i="1"/>
  <c r="D38" i="1"/>
  <c r="D35" i="1"/>
  <c r="D34" i="1"/>
  <c r="D33" i="1"/>
  <c r="D32" i="1"/>
  <c r="D26" i="1"/>
  <c r="D23" i="1"/>
  <c r="D22" i="1"/>
  <c r="D21" i="1"/>
  <c r="D20" i="1"/>
  <c r="D14" i="1"/>
  <c r="D11" i="1"/>
  <c r="D10" i="1"/>
  <c r="D9" i="1"/>
  <c r="P6" i="1"/>
  <c r="O6" i="1"/>
  <c r="N6" i="1"/>
  <c r="M6" i="1"/>
  <c r="L6" i="1"/>
  <c r="K6" i="1"/>
  <c r="J6" i="1"/>
  <c r="I6" i="1"/>
  <c r="G6" i="1" l="1"/>
  <c r="D7" i="1"/>
  <c r="D6" i="1" s="1"/>
  <c r="F6" i="1"/>
  <c r="E6" i="1"/>
  <c r="AP6" i="1"/>
  <c r="AQ187" i="1"/>
  <c r="AQ186" i="1"/>
  <c r="AQ183" i="1"/>
  <c r="AQ182" i="1"/>
  <c r="AQ181" i="1"/>
  <c r="AQ180" i="1"/>
  <c r="AQ179" i="1"/>
  <c r="AQ178" i="1"/>
  <c r="AQ177" i="1"/>
  <c r="AQ175" i="1"/>
  <c r="AQ174" i="1"/>
  <c r="AQ173" i="1"/>
  <c r="AQ172" i="1"/>
  <c r="AQ171" i="1"/>
  <c r="AQ169" i="1"/>
  <c r="AQ167" i="1"/>
  <c r="AQ166" i="1"/>
  <c r="AQ165" i="1"/>
  <c r="AQ164" i="1"/>
  <c r="AQ163" i="1"/>
  <c r="AQ162" i="1"/>
  <c r="AQ160" i="1"/>
  <c r="AQ159" i="1"/>
  <c r="AQ158" i="1"/>
  <c r="AQ157" i="1"/>
  <c r="AQ156" i="1"/>
  <c r="AQ155" i="1"/>
  <c r="AQ154" i="1"/>
  <c r="AQ151" i="1"/>
  <c r="AQ149" i="1"/>
  <c r="AQ148" i="1"/>
  <c r="AQ147" i="1"/>
  <c r="AQ146" i="1"/>
  <c r="AQ144" i="1"/>
  <c r="AQ143" i="1"/>
  <c r="AQ142" i="1"/>
  <c r="AQ140" i="1"/>
  <c r="AQ139" i="1"/>
  <c r="AQ138" i="1"/>
  <c r="AQ137" i="1"/>
  <c r="AQ135" i="1"/>
  <c r="AQ133" i="1"/>
  <c r="AQ132" i="1"/>
  <c r="AQ131" i="1"/>
  <c r="AQ130" i="1"/>
  <c r="AQ129" i="1"/>
  <c r="AQ128" i="1"/>
  <c r="AQ66" i="1"/>
  <c r="AQ126" i="1"/>
  <c r="AQ124" i="1"/>
  <c r="AQ123" i="1"/>
  <c r="AQ122" i="1"/>
  <c r="AQ121" i="1"/>
  <c r="AQ120" i="1"/>
  <c r="AQ116" i="1"/>
  <c r="AQ115" i="1"/>
  <c r="AQ114" i="1"/>
  <c r="AQ113" i="1"/>
  <c r="AQ112" i="1"/>
  <c r="AQ111" i="1"/>
  <c r="AQ110" i="1"/>
  <c r="AQ108" i="1"/>
  <c r="AQ107" i="1"/>
  <c r="AQ106" i="1"/>
  <c r="AQ105" i="1"/>
  <c r="AQ104" i="1"/>
  <c r="AQ102" i="1"/>
  <c r="AQ101" i="1"/>
  <c r="AQ99" i="1"/>
  <c r="AQ98" i="1"/>
  <c r="AQ97" i="1"/>
  <c r="AQ96" i="1"/>
  <c r="AQ94" i="1"/>
  <c r="AQ93" i="1"/>
  <c r="AQ92" i="1"/>
  <c r="AQ91" i="1"/>
  <c r="AQ90" i="1"/>
  <c r="AQ89" i="1"/>
  <c r="AQ88" i="1"/>
  <c r="AQ86" i="1"/>
  <c r="AQ85" i="1"/>
  <c r="AQ84" i="1"/>
  <c r="AQ83" i="1"/>
  <c r="AQ82" i="1"/>
  <c r="AQ81" i="1"/>
  <c r="AQ80" i="1"/>
  <c r="AQ78" i="1"/>
  <c r="AQ77" i="1"/>
  <c r="AQ76" i="1"/>
  <c r="AQ74" i="1"/>
  <c r="AQ73" i="1"/>
  <c r="AQ71" i="1"/>
  <c r="AQ70" i="1"/>
  <c r="AQ67" i="1"/>
  <c r="AQ65" i="1"/>
  <c r="AQ64" i="1"/>
  <c r="AQ63" i="1"/>
  <c r="AQ62" i="1"/>
  <c r="AQ61" i="1"/>
  <c r="AQ60" i="1"/>
  <c r="AQ58" i="1"/>
  <c r="AQ57" i="1"/>
  <c r="AQ55" i="1"/>
  <c r="AQ54" i="1"/>
  <c r="AQ53" i="1"/>
  <c r="AQ51" i="1"/>
  <c r="AQ49" i="1"/>
  <c r="AQ48" i="1"/>
  <c r="AQ47" i="1"/>
  <c r="AQ46" i="1"/>
  <c r="AQ45" i="1"/>
  <c r="AQ44" i="1"/>
  <c r="AQ43" i="1"/>
  <c r="AQ41" i="1"/>
  <c r="AQ40" i="1"/>
  <c r="AQ38" i="1"/>
  <c r="AQ36" i="1"/>
  <c r="AQ35" i="1"/>
  <c r="AQ34" i="1"/>
  <c r="AQ33" i="1"/>
  <c r="AQ31" i="1"/>
  <c r="AQ30" i="1"/>
  <c r="AQ29" i="1"/>
  <c r="AQ28" i="1"/>
  <c r="AQ27" i="1"/>
  <c r="AQ26" i="1"/>
  <c r="AQ25" i="1"/>
  <c r="AQ23" i="1"/>
  <c r="AQ21" i="1"/>
  <c r="AQ20" i="1"/>
  <c r="AQ18" i="1"/>
  <c r="AQ17" i="1"/>
  <c r="AQ16" i="1"/>
  <c r="AQ15" i="1"/>
  <c r="AQ14" i="1"/>
  <c r="AQ13" i="1"/>
  <c r="AQ11" i="1"/>
  <c r="AQ9" i="1"/>
  <c r="AQ8" i="1"/>
  <c r="AQ7" i="1"/>
  <c r="AO6" i="1"/>
  <c r="AQ185" i="1"/>
  <c r="AQ184" i="1"/>
  <c r="AQ176" i="1"/>
  <c r="AQ161" i="1"/>
  <c r="AQ153" i="1"/>
  <c r="AQ150" i="1"/>
  <c r="AQ145" i="1"/>
  <c r="AQ136" i="1"/>
  <c r="AQ127" i="1"/>
  <c r="AQ119" i="1"/>
  <c r="AQ109" i="1"/>
  <c r="AQ100" i="1"/>
  <c r="AQ95" i="1"/>
  <c r="AQ87" i="1"/>
  <c r="AQ79" i="1"/>
  <c r="AQ69" i="1"/>
  <c r="AQ52" i="1"/>
  <c r="AQ50" i="1"/>
  <c r="AQ42" i="1"/>
  <c r="AQ32" i="1"/>
  <c r="AQ24" i="1"/>
  <c r="AQ19" i="1"/>
  <c r="AQ10" i="1"/>
  <c r="AN6" i="1" l="1"/>
  <c r="AM6" i="1"/>
  <c r="AL6" i="1"/>
  <c r="AK6" i="1"/>
  <c r="AJ6" i="1"/>
  <c r="AI6" i="1"/>
  <c r="AH6" i="1"/>
  <c r="AG6" i="1"/>
  <c r="BC6" i="1"/>
  <c r="BP6" i="1"/>
  <c r="BO6" i="1"/>
  <c r="BN6" i="1"/>
  <c r="BM6" i="1"/>
  <c r="BL6" i="1"/>
  <c r="BK6" i="1"/>
  <c r="BJ6" i="1"/>
  <c r="BI6" i="1"/>
  <c r="BH6" i="1"/>
  <c r="BG6" i="1"/>
  <c r="BF6" i="1"/>
  <c r="BD6" i="1" l="1"/>
  <c r="BE6" i="1"/>
  <c r="CD6" i="1"/>
  <c r="CC6" i="1" l="1"/>
  <c r="CN6" i="1" l="1"/>
  <c r="CP6" i="1"/>
  <c r="CO6" i="1"/>
  <c r="CL6" i="1"/>
  <c r="CK6" i="1"/>
  <c r="CJ6" i="1"/>
  <c r="CI6" i="1"/>
  <c r="CH6" i="1"/>
  <c r="CG6" i="1"/>
  <c r="CF6" i="1"/>
  <c r="CE6" i="1" l="1"/>
  <c r="DC6" i="1" l="1"/>
  <c r="DB6" i="1"/>
  <c r="DA6" i="1"/>
  <c r="CZ6" i="1"/>
  <c r="CY6" i="1"/>
  <c r="CX6" i="1"/>
  <c r="CW6" i="1"/>
  <c r="CV6" i="1"/>
  <c r="CU6" i="1"/>
  <c r="CT6" i="1"/>
  <c r="CS6" i="1"/>
  <c r="CR6" i="1" l="1"/>
  <c r="DP6" i="1" l="1"/>
  <c r="DO6" i="1"/>
  <c r="DN6" i="1"/>
  <c r="DM6" i="1" l="1"/>
  <c r="DL6" i="1"/>
  <c r="DK6" i="1"/>
  <c r="DJ6" i="1"/>
  <c r="DI6" i="1"/>
  <c r="DH6" i="1"/>
  <c r="DG6" i="1"/>
  <c r="DF6" i="1"/>
  <c r="DE6" i="1"/>
  <c r="DD6" i="1" l="1"/>
  <c r="ED186" i="1" l="1"/>
  <c r="ED184" i="1"/>
  <c r="ED183" i="1"/>
  <c r="ED182" i="1"/>
  <c r="ED181" i="1"/>
  <c r="ED180" i="1"/>
  <c r="ED179" i="1"/>
  <c r="ED177" i="1"/>
  <c r="ED176" i="1"/>
  <c r="ED174" i="1"/>
  <c r="ED169" i="1"/>
  <c r="ED168" i="1"/>
  <c r="ED167" i="1"/>
  <c r="ED166" i="1"/>
  <c r="ED163" i="1"/>
  <c r="ED160" i="1"/>
  <c r="ED159" i="1"/>
  <c r="ED157" i="1"/>
  <c r="ED153" i="1"/>
  <c r="ED151" i="1"/>
  <c r="ED149" i="1"/>
  <c r="ED147" i="1"/>
  <c r="ED146" i="1"/>
  <c r="ED145" i="1"/>
  <c r="ED144" i="1"/>
  <c r="ED140" i="1"/>
  <c r="ED138" i="1"/>
  <c r="ED135" i="1"/>
  <c r="ED133" i="1"/>
  <c r="ED132" i="1"/>
  <c r="ED129" i="1"/>
  <c r="ED126" i="1"/>
  <c r="ED123" i="1"/>
  <c r="ED116" i="1"/>
  <c r="ED115" i="1"/>
  <c r="ED113" i="1"/>
  <c r="ED112" i="1"/>
  <c r="ED111" i="1"/>
  <c r="ED110" i="1"/>
  <c r="ED109" i="1"/>
  <c r="ED107" i="1"/>
  <c r="ED106" i="1"/>
  <c r="ED105" i="1"/>
  <c r="ED104" i="1"/>
  <c r="ED102" i="1"/>
  <c r="ED98" i="1"/>
  <c r="ED95" i="1"/>
  <c r="ED94" i="1"/>
  <c r="ED93" i="1"/>
  <c r="ED92" i="1"/>
  <c r="ED90" i="1"/>
  <c r="ED89" i="1"/>
  <c r="ED88" i="1"/>
  <c r="ED86" i="1"/>
  <c r="ED84" i="1"/>
  <c r="ED82" i="1"/>
  <c r="ED81" i="1"/>
  <c r="ED80" i="1"/>
  <c r="ED78" i="1"/>
  <c r="ED77" i="1"/>
  <c r="ED71" i="1"/>
  <c r="ED65" i="1"/>
  <c r="ED64" i="1"/>
  <c r="ED63" i="1"/>
  <c r="ED61" i="1"/>
  <c r="ED60" i="1"/>
  <c r="ED59" i="1"/>
  <c r="ED56" i="1"/>
  <c r="ED53" i="1"/>
  <c r="ED52" i="1"/>
  <c r="ED51" i="1"/>
  <c r="ED50" i="1"/>
  <c r="ED48" i="1"/>
  <c r="ED47" i="1"/>
  <c r="ED45" i="1"/>
  <c r="ED44" i="1"/>
  <c r="ED35" i="1"/>
  <c r="ED30" i="1"/>
  <c r="ED29" i="1"/>
  <c r="ED28" i="1"/>
  <c r="ED26" i="1"/>
  <c r="ED25" i="1"/>
  <c r="ED24" i="1"/>
  <c r="ED23" i="1"/>
  <c r="ED21" i="1"/>
  <c r="ED19" i="1"/>
  <c r="ED18" i="1"/>
  <c r="ED17" i="1"/>
  <c r="ED16" i="1"/>
  <c r="ED15" i="1"/>
  <c r="ED14" i="1"/>
  <c r="ED8" i="1"/>
  <c r="ED7" i="1"/>
  <c r="EQ44" i="1" l="1"/>
  <c r="FD44" i="1"/>
  <c r="EQ186" i="1" l="1"/>
  <c r="EQ183" i="1"/>
  <c r="EQ182" i="1"/>
  <c r="EQ181" i="1"/>
  <c r="EQ180" i="1"/>
  <c r="EQ179" i="1"/>
  <c r="EQ177" i="1"/>
  <c r="EQ176" i="1"/>
  <c r="EQ169" i="1"/>
  <c r="EQ168" i="1"/>
  <c r="EQ167" i="1"/>
  <c r="EQ166" i="1"/>
  <c r="EQ163" i="1"/>
  <c r="EQ160" i="1"/>
  <c r="EQ159" i="1"/>
  <c r="EQ157" i="1"/>
  <c r="EQ153" i="1"/>
  <c r="EQ151" i="1"/>
  <c r="EQ149" i="1"/>
  <c r="EQ147" i="1"/>
  <c r="EQ146" i="1"/>
  <c r="EQ145" i="1"/>
  <c r="EQ144" i="1"/>
  <c r="EQ140" i="1"/>
  <c r="EQ135" i="1"/>
  <c r="EQ133" i="1"/>
  <c r="EQ132" i="1"/>
  <c r="EQ129" i="1"/>
  <c r="EQ123" i="1"/>
  <c r="EQ116" i="1"/>
  <c r="EQ115" i="1"/>
  <c r="EQ113" i="1"/>
  <c r="EQ112" i="1"/>
  <c r="EQ111" i="1"/>
  <c r="EQ110" i="1"/>
  <c r="EQ109" i="1"/>
  <c r="EQ106" i="1"/>
  <c r="EQ104" i="1"/>
  <c r="EQ102" i="1"/>
  <c r="EQ95" i="1"/>
  <c r="EQ94" i="1"/>
  <c r="EQ93" i="1"/>
  <c r="EQ90" i="1"/>
  <c r="EQ88" i="1"/>
  <c r="EQ80" i="1"/>
  <c r="EQ78" i="1"/>
  <c r="EQ71" i="1"/>
  <c r="EQ65" i="1"/>
  <c r="EQ63" i="1"/>
  <c r="EQ61" i="1"/>
  <c r="EQ59" i="1"/>
  <c r="EQ56" i="1"/>
  <c r="EQ52" i="1"/>
  <c r="EQ50" i="1"/>
  <c r="EQ48" i="1"/>
  <c r="EQ47" i="1"/>
  <c r="EQ45" i="1"/>
  <c r="EQ29" i="1"/>
  <c r="EQ25" i="1"/>
  <c r="EQ24" i="1"/>
  <c r="EQ23" i="1"/>
  <c r="EQ17" i="1"/>
  <c r="EQ16" i="1"/>
  <c r="EQ15" i="1"/>
  <c r="EQ14" i="1"/>
  <c r="EQ8" i="1"/>
  <c r="EQ7" i="1"/>
  <c r="EP6" i="1" l="1"/>
  <c r="EO6" i="1"/>
  <c r="EN6" i="1"/>
  <c r="EM6" i="1"/>
  <c r="EL6" i="1"/>
  <c r="EK6" i="1"/>
  <c r="EJ6" i="1"/>
  <c r="EI6" i="1"/>
  <c r="EH6" i="1"/>
  <c r="EG6" i="1"/>
  <c r="EF6" i="1"/>
  <c r="EE6" i="1"/>
  <c r="ED6" i="1"/>
  <c r="FD7" i="1" l="1"/>
  <c r="FD17" i="1" l="1"/>
  <c r="FD94" i="1"/>
  <c r="FD112" i="1"/>
  <c r="FD180" i="1"/>
  <c r="FD123" i="1"/>
  <c r="FD16" i="1"/>
  <c r="FD177" i="1"/>
  <c r="FD153" i="1"/>
  <c r="FD145" i="1"/>
  <c r="FD146" i="1"/>
  <c r="FD111" i="1"/>
  <c r="FD59" i="1"/>
  <c r="FD48" i="1"/>
  <c r="FD45" i="1"/>
  <c r="FD29" i="1"/>
  <c r="FD157" i="1"/>
  <c r="FD50" i="1"/>
  <c r="FD176" i="1"/>
  <c r="FD166" i="1"/>
  <c r="FD160" i="1"/>
  <c r="FD135" i="1"/>
  <c r="FD129" i="1"/>
  <c r="FD95" i="1"/>
  <c r="FD56" i="1"/>
  <c r="FD23" i="1"/>
  <c r="FD15" i="1"/>
  <c r="FD183" i="1"/>
  <c r="FD182" i="1"/>
  <c r="FD181" i="1"/>
  <c r="FD179" i="1"/>
  <c r="FD167" i="1"/>
  <c r="FD163" i="1"/>
  <c r="FD151" i="1"/>
  <c r="FD147" i="1"/>
  <c r="FD140" i="1"/>
  <c r="FD133" i="1"/>
  <c r="FD116" i="1"/>
  <c r="FD115" i="1"/>
  <c r="FD113" i="1"/>
  <c r="FD110" i="1"/>
  <c r="FD109" i="1"/>
  <c r="FD106" i="1"/>
  <c r="FD102" i="1"/>
  <c r="FD93" i="1"/>
  <c r="FD88" i="1"/>
  <c r="FD78" i="1"/>
  <c r="FD65" i="1"/>
  <c r="FD25" i="1"/>
  <c r="FD24" i="1"/>
  <c r="FD8" i="1"/>
  <c r="FD80" i="1"/>
  <c r="FD71" i="1"/>
  <c r="FC6" i="1"/>
  <c r="FB6" i="1"/>
  <c r="FA6" i="1"/>
  <c r="EZ6" i="1"/>
  <c r="EY6" i="1"/>
  <c r="EX6" i="1"/>
  <c r="EW6" i="1"/>
  <c r="EV6" i="1"/>
  <c r="EU6" i="1"/>
  <c r="ET6" i="1"/>
  <c r="ES6" i="1"/>
  <c r="ER6" i="1"/>
  <c r="FD6" i="1" l="1"/>
  <c r="FP6" i="1"/>
  <c r="FO6" i="1"/>
  <c r="FE6" i="1"/>
  <c r="FN6" i="1" l="1"/>
  <c r="FM6" i="1" l="1"/>
  <c r="EQ6" i="1" l="1"/>
  <c r="FL6" i="1"/>
  <c r="FK6" i="1" l="1"/>
  <c r="FJ6" i="1" l="1"/>
  <c r="FI6" i="1" l="1"/>
  <c r="FH6" i="1"/>
  <c r="FX80" i="1" l="1"/>
  <c r="FW80" i="1"/>
  <c r="FV80" i="1"/>
  <c r="FU80" i="1"/>
  <c r="FT80" i="1"/>
  <c r="FS80" i="1"/>
  <c r="FR80" i="1" l="1"/>
  <c r="FR71" i="1"/>
  <c r="FZ6" i="1"/>
  <c r="FY6" i="1"/>
  <c r="FX6" i="1"/>
  <c r="FW6" i="1"/>
  <c r="FV6" i="1"/>
  <c r="FU6" i="1"/>
  <c r="FT6" i="1"/>
  <c r="FS6" i="1"/>
  <c r="FR6" i="1" l="1"/>
  <c r="FG6" i="1"/>
  <c r="FF6" i="1"/>
  <c r="FQ6" i="1" l="1"/>
  <c r="CM6" i="1" l="1"/>
  <c r="CA6" i="1" l="1"/>
  <c r="BR6" i="1"/>
  <c r="BW6" i="1"/>
  <c r="BV6" i="1"/>
  <c r="BS6" i="1"/>
  <c r="BY6" i="1"/>
  <c r="BT6" i="1"/>
  <c r="CB6" i="1"/>
  <c r="BZ6" i="1"/>
  <c r="BX6" i="1"/>
  <c r="BU6" i="1"/>
  <c r="BQ6" i="1" l="1"/>
  <c r="AT6" i="1" l="1"/>
  <c r="AS6" i="1"/>
  <c r="AY6" i="1"/>
  <c r="BA6" i="1"/>
  <c r="AR6" i="1"/>
  <c r="AW6" i="1"/>
  <c r="AU6" i="1"/>
  <c r="AX6" i="1"/>
  <c r="AZ6" i="1"/>
  <c r="BB6" i="1"/>
  <c r="AV6" i="1"/>
  <c r="AQ6" i="1" l="1"/>
  <c r="AE6" i="1" l="1"/>
  <c r="AF6" i="1"/>
  <c r="AD6" i="1" l="1"/>
  <c r="Z6" i="1" l="1"/>
  <c r="Y6" i="1"/>
  <c r="T6" i="1"/>
  <c r="V6" i="1"/>
  <c r="U6" i="1"/>
  <c r="W6" i="1"/>
  <c r="S6" i="1"/>
  <c r="X6" i="1"/>
  <c r="AC6" i="1"/>
  <c r="AB6" i="1"/>
  <c r="AA6" i="1"/>
  <c r="R6" i="1"/>
  <c r="Q6" i="1" l="1"/>
</calcChain>
</file>

<file path=xl/sharedStrings.xml><?xml version="1.0" encoding="utf-8"?>
<sst xmlns="http://schemas.openxmlformats.org/spreadsheetml/2006/main" count="710" uniqueCount="435">
  <si>
    <t>Puyallup</t>
  </si>
  <si>
    <t>Franklin Pierce</t>
  </si>
  <si>
    <t>Kent</t>
  </si>
  <si>
    <t>14005</t>
  </si>
  <si>
    <t>Aberdeen</t>
  </si>
  <si>
    <t>21226</t>
  </si>
  <si>
    <t>Adna</t>
  </si>
  <si>
    <t>21401</t>
  </si>
  <si>
    <t>Centralia</t>
  </si>
  <si>
    <t>21302</t>
  </si>
  <si>
    <t>Chehalis</t>
  </si>
  <si>
    <t>14028</t>
  </si>
  <si>
    <t>Hoquiam</t>
  </si>
  <si>
    <t>14097</t>
  </si>
  <si>
    <t>Lake Quinault</t>
  </si>
  <si>
    <t>23311</t>
  </si>
  <si>
    <t>Mary M Knight</t>
  </si>
  <si>
    <t>14066</t>
  </si>
  <si>
    <t>Montesano</t>
  </si>
  <si>
    <t>21014</t>
  </si>
  <si>
    <t>Napavine</t>
  </si>
  <si>
    <t>14064</t>
  </si>
  <si>
    <t>North Beach</t>
  </si>
  <si>
    <t>25200</t>
  </si>
  <si>
    <t>North River</t>
  </si>
  <si>
    <t>34003</t>
  </si>
  <si>
    <t>North Thurston</t>
  </si>
  <si>
    <t>14400</t>
  </si>
  <si>
    <t>Oakville</t>
  </si>
  <si>
    <t>14172</t>
  </si>
  <si>
    <t>Ocosta</t>
  </si>
  <si>
    <t>34111</t>
  </si>
  <si>
    <t>Olympia</t>
  </si>
  <si>
    <t>25116</t>
  </si>
  <si>
    <t>Raymond</t>
  </si>
  <si>
    <t>34401</t>
  </si>
  <si>
    <t>Rochester</t>
  </si>
  <si>
    <t>23309</t>
  </si>
  <si>
    <t>Shelton</t>
  </si>
  <si>
    <t>25118</t>
  </si>
  <si>
    <t>South Bend</t>
  </si>
  <si>
    <t>34402</t>
  </si>
  <si>
    <t>Tenino</t>
  </si>
  <si>
    <t>34033</t>
  </si>
  <si>
    <t>Tumwater</t>
  </si>
  <si>
    <t>21303</t>
  </si>
  <si>
    <t>White Pass</t>
  </si>
  <si>
    <t>25160</t>
  </si>
  <si>
    <t>Willapa Valley</t>
  </si>
  <si>
    <t>21232</t>
  </si>
  <si>
    <t>Winlock</t>
  </si>
  <si>
    <t>14117</t>
  </si>
  <si>
    <t>Wishkah Valley</t>
  </si>
  <si>
    <t>17403</t>
  </si>
  <si>
    <t>27003</t>
  </si>
  <si>
    <t>27402</t>
  </si>
  <si>
    <t>13161</t>
  </si>
  <si>
    <t>17406</t>
  </si>
  <si>
    <t>27010</t>
  </si>
  <si>
    <t>17415</t>
  </si>
  <si>
    <t>17937</t>
  </si>
  <si>
    <t>04246</t>
  </si>
  <si>
    <t>Eatonville</t>
  </si>
  <si>
    <t>Everett</t>
  </si>
  <si>
    <t>Moses Lake</t>
  </si>
  <si>
    <t>Renton</t>
  </si>
  <si>
    <t>Tacoma</t>
  </si>
  <si>
    <t>Tukwila</t>
  </si>
  <si>
    <t>Wenatchee</t>
  </si>
  <si>
    <t>Bellevue</t>
  </si>
  <si>
    <t>17405</t>
  </si>
  <si>
    <t>Central Valley</t>
  </si>
  <si>
    <t>32356</t>
  </si>
  <si>
    <t>Sultan</t>
  </si>
  <si>
    <t>27404</t>
  </si>
  <si>
    <t>31002</t>
  </si>
  <si>
    <t>31311</t>
  </si>
  <si>
    <t>17417</t>
  </si>
  <si>
    <t>Northshore</t>
  </si>
  <si>
    <t>2012-13</t>
  </si>
  <si>
    <t>Beginning Date</t>
  </si>
  <si>
    <t>ccddd</t>
  </si>
  <si>
    <t>District</t>
  </si>
  <si>
    <t>Edmonds</t>
  </si>
  <si>
    <t>Clarkston</t>
  </si>
  <si>
    <t>31015</t>
  </si>
  <si>
    <t>02250</t>
  </si>
  <si>
    <t>Sept 2013</t>
  </si>
  <si>
    <t>Oct 2013</t>
  </si>
  <si>
    <t>Nov 2013</t>
  </si>
  <si>
    <t>Sept</t>
  </si>
  <si>
    <t>Oct</t>
  </si>
  <si>
    <t>State Summary</t>
  </si>
  <si>
    <t>Enumclaw</t>
  </si>
  <si>
    <t>17216</t>
  </si>
  <si>
    <t>Grand Coulee</t>
  </si>
  <si>
    <t>13301</t>
  </si>
  <si>
    <t>Dec 2013</t>
  </si>
  <si>
    <t>39119</t>
  </si>
  <si>
    <t>Selah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</si>
  <si>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</si>
  <si>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</si>
  <si>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</si>
  <si>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</si>
  <si>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</si>
  <si>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</si>
  <si>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</si>
  <si>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</si>
  <si>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</si>
  <si>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</si>
  <si>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2011-12 FTE Enrollment</t>
  </si>
  <si>
    <t>2011-12</t>
  </si>
  <si>
    <t>Sedro Woolley</t>
  </si>
  <si>
    <t>29101</t>
  </si>
  <si>
    <t>Spokane</t>
  </si>
  <si>
    <t>32363</t>
  </si>
  <si>
    <t>32081</t>
  </si>
  <si>
    <t>Bellingham</t>
  </si>
  <si>
    <t>White River</t>
  </si>
  <si>
    <t>Pe Ell</t>
  </si>
  <si>
    <t>27416</t>
  </si>
  <si>
    <t>21301</t>
  </si>
  <si>
    <t>37501</t>
  </si>
  <si>
    <t>Oak Harbor</t>
  </si>
  <si>
    <t>Apr 2014</t>
  </si>
  <si>
    <t>Mar 2014</t>
  </si>
  <si>
    <t>Feb 2014</t>
  </si>
  <si>
    <t>15201</t>
  </si>
  <si>
    <t>Morton</t>
  </si>
  <si>
    <t>May 2014</t>
  </si>
  <si>
    <t>21214</t>
  </si>
  <si>
    <t>Bethel</t>
  </si>
  <si>
    <t>Highline</t>
  </si>
  <si>
    <t>Seattle</t>
  </si>
  <si>
    <t>Vancouver</t>
  </si>
  <si>
    <t>Yakima</t>
  </si>
  <si>
    <t>17401</t>
  </si>
  <si>
    <t>27403</t>
  </si>
  <si>
    <t>06037</t>
  </si>
  <si>
    <t>39007</t>
  </si>
  <si>
    <t>Granite Falls</t>
  </si>
  <si>
    <t>University Place</t>
  </si>
  <si>
    <t>June</t>
  </si>
  <si>
    <t>31332</t>
  </si>
  <si>
    <t>27083</t>
  </si>
  <si>
    <t>Aug 2014</t>
  </si>
  <si>
    <t>39201</t>
  </si>
  <si>
    <t>Sunnyside</t>
  </si>
  <si>
    <t>Federal Way</t>
  </si>
  <si>
    <t>17210</t>
  </si>
  <si>
    <t>July</t>
  </si>
  <si>
    <t>Battle Ground</t>
  </si>
  <si>
    <t>06119</t>
  </si>
  <si>
    <t>Snoqualmie Valley</t>
  </si>
  <si>
    <t>17410</t>
  </si>
  <si>
    <t>2013-14</t>
  </si>
  <si>
    <t>AAFTE</t>
  </si>
  <si>
    <t>Jan 2012</t>
  </si>
  <si>
    <t>Jul 2012</t>
  </si>
  <si>
    <t>Sept 2012</t>
  </si>
  <si>
    <t>Sept 2014</t>
  </si>
  <si>
    <t>Lake Wa Inst Tech</t>
  </si>
  <si>
    <t>2014-15</t>
  </si>
  <si>
    <t>17001</t>
  </si>
  <si>
    <t>Mead</t>
  </si>
  <si>
    <t>Nov 2014</t>
  </si>
  <si>
    <t>32354</t>
  </si>
  <si>
    <t>32325</t>
  </si>
  <si>
    <t>Nine Miles Falls</t>
  </si>
  <si>
    <t>Elma</t>
  </si>
  <si>
    <t>14068</t>
  </si>
  <si>
    <t>Jan 2015</t>
  </si>
  <si>
    <t>34307</t>
  </si>
  <si>
    <t>Rainier</t>
  </si>
  <si>
    <t>2015-16</t>
  </si>
  <si>
    <t>Coupeville</t>
  </si>
  <si>
    <t>Sept 2015</t>
  </si>
  <si>
    <t>15204</t>
  </si>
  <si>
    <t>Grandview</t>
  </si>
  <si>
    <t>39200</t>
  </si>
  <si>
    <t>Clover Park</t>
  </si>
  <si>
    <t>27400</t>
  </si>
  <si>
    <t>Bremerton</t>
  </si>
  <si>
    <t>08122</t>
  </si>
  <si>
    <t>Longview</t>
  </si>
  <si>
    <t>Lakewood</t>
  </si>
  <si>
    <t>31306</t>
  </si>
  <si>
    <t>Marysville</t>
  </si>
  <si>
    <t>31025</t>
  </si>
  <si>
    <t>Cheney</t>
  </si>
  <si>
    <t>32360</t>
  </si>
  <si>
    <t>18100</t>
  </si>
  <si>
    <t>Prescott</t>
  </si>
  <si>
    <t>36402</t>
  </si>
  <si>
    <t>Chimacum</t>
  </si>
  <si>
    <t>16049</t>
  </si>
  <si>
    <t>Lummi Tribal</t>
  </si>
  <si>
    <t>37903</t>
  </si>
  <si>
    <t>Camas</t>
  </si>
  <si>
    <t>Evergreen (Clark)</t>
  </si>
  <si>
    <t>Ridgefield</t>
  </si>
  <si>
    <t>Washougal</t>
  </si>
  <si>
    <t>Woodland</t>
  </si>
  <si>
    <t>Blaine</t>
  </si>
  <si>
    <t>Oct 2015</t>
  </si>
  <si>
    <t>06117</t>
  </si>
  <si>
    <t>37503</t>
  </si>
  <si>
    <t>06114</t>
  </si>
  <si>
    <t>06122</t>
  </si>
  <si>
    <t>06112</t>
  </si>
  <si>
    <t>08404</t>
  </si>
  <si>
    <t>Ferndale</t>
  </si>
  <si>
    <t>Lynden</t>
  </si>
  <si>
    <t>37504</t>
  </si>
  <si>
    <t>Meridan</t>
  </si>
  <si>
    <t>37505</t>
  </si>
  <si>
    <t>Mount Baker</t>
  </si>
  <si>
    <t>Nooksack Valley</t>
  </si>
  <si>
    <t>37506</t>
  </si>
  <si>
    <t>37507</t>
  </si>
  <si>
    <t>37502</t>
  </si>
  <si>
    <t>Hockinson</t>
  </si>
  <si>
    <t>06098</t>
  </si>
  <si>
    <t>11051</t>
  </si>
  <si>
    <t>Jan 2016</t>
  </si>
  <si>
    <t>North Franklin</t>
  </si>
  <si>
    <t>2016-17</t>
  </si>
  <si>
    <t>Wellpinit</t>
  </si>
  <si>
    <t>Sept 2016</t>
  </si>
  <si>
    <t>33049</t>
  </si>
  <si>
    <t>27931</t>
  </si>
  <si>
    <t>Mt Vernon</t>
  </si>
  <si>
    <t>29320</t>
  </si>
  <si>
    <t>Mabton</t>
  </si>
  <si>
    <t>39120</t>
  </si>
  <si>
    <t>Walla Walla</t>
  </si>
  <si>
    <t>36140</t>
  </si>
  <si>
    <t>Bates TC</t>
  </si>
  <si>
    <t>Approved Open Doors Programs - FTE Enrollment</t>
  </si>
  <si>
    <t>Deer Park</t>
  </si>
  <si>
    <t>32414</t>
  </si>
  <si>
    <t>32361</t>
  </si>
  <si>
    <t>East Valley (Spok)</t>
  </si>
  <si>
    <t>Pasco</t>
  </si>
  <si>
    <t>11001</t>
  </si>
  <si>
    <t>Riverside</t>
  </si>
  <si>
    <t>32416</t>
  </si>
  <si>
    <t>closed 9/16</t>
  </si>
  <si>
    <t>Kiona Benton</t>
  </si>
  <si>
    <t>03052</t>
  </si>
  <si>
    <t>Jan 2017</t>
  </si>
  <si>
    <t>Auburn</t>
  </si>
  <si>
    <t>17408</t>
  </si>
  <si>
    <t>Colville</t>
  </si>
  <si>
    <t>33115</t>
  </si>
  <si>
    <t>34002</t>
  </si>
  <si>
    <t>Yelm</t>
  </si>
  <si>
    <t>Mukilteo</t>
  </si>
  <si>
    <t>31006</t>
  </si>
  <si>
    <t>Feb 2017</t>
  </si>
  <si>
    <t>Concrete</t>
  </si>
  <si>
    <t>Apr 2017</t>
  </si>
  <si>
    <t>29011</t>
  </si>
  <si>
    <t>Ephrata</t>
  </si>
  <si>
    <t>13165</t>
  </si>
  <si>
    <t>Arlington</t>
  </si>
  <si>
    <t>31016</t>
  </si>
  <si>
    <t>2017-18</t>
  </si>
  <si>
    <t>Columbia (Walla)</t>
  </si>
  <si>
    <t>36400</t>
  </si>
  <si>
    <t>Sept 2017</t>
  </si>
  <si>
    <t>Kennewick</t>
  </si>
  <si>
    <t>03017</t>
  </si>
  <si>
    <t>Anacortes</t>
  </si>
  <si>
    <t>29103</t>
  </si>
  <si>
    <t>Burlington Edison</t>
  </si>
  <si>
    <t>29100</t>
  </si>
  <si>
    <t>Chewelah</t>
  </si>
  <si>
    <t>33036</t>
  </si>
  <si>
    <t>Lyle</t>
  </si>
  <si>
    <t>20406</t>
  </si>
  <si>
    <t>05402</t>
  </si>
  <si>
    <t>Quillayute Valley</t>
  </si>
  <si>
    <t>Stanwood Camano</t>
  </si>
  <si>
    <t>31401</t>
  </si>
  <si>
    <t>Toppenish</t>
  </si>
  <si>
    <t>39202</t>
  </si>
  <si>
    <t>La Connor</t>
  </si>
  <si>
    <t>29311</t>
  </si>
  <si>
    <t>Curlew</t>
  </si>
  <si>
    <t>10050</t>
  </si>
  <si>
    <t>LaCenter</t>
  </si>
  <si>
    <t>06101</t>
  </si>
  <si>
    <t>closed</t>
  </si>
  <si>
    <t>Kelso</t>
  </si>
  <si>
    <t>April 2018</t>
  </si>
  <si>
    <t>08458</t>
  </si>
  <si>
    <t>Tahoma</t>
  </si>
  <si>
    <t>17409</t>
  </si>
  <si>
    <t>27001</t>
  </si>
  <si>
    <t>Steilacoom</t>
  </si>
  <si>
    <t>Dayton</t>
  </si>
  <si>
    <t>07002</t>
  </si>
  <si>
    <t>Jun 2018</t>
  </si>
  <si>
    <t>Prosser</t>
  </si>
  <si>
    <t>03116</t>
  </si>
  <si>
    <t>West Valley (Spok)</t>
  </si>
  <si>
    <t>West Valley (Yak)</t>
  </si>
  <si>
    <t>39208</t>
  </si>
  <si>
    <t>2018-19</t>
  </si>
  <si>
    <t>Jan 2019</t>
  </si>
  <si>
    <t>Ellensburg</t>
  </si>
  <si>
    <t>19401</t>
  </si>
  <si>
    <t>19403</t>
  </si>
  <si>
    <t>Kittitas</t>
  </si>
  <si>
    <t>03400</t>
  </si>
  <si>
    <t>Richland</t>
  </si>
  <si>
    <t>Sept 2018</t>
  </si>
  <si>
    <t>Toledo</t>
  </si>
  <si>
    <t>Tahola</t>
  </si>
  <si>
    <t>Onalaska</t>
  </si>
  <si>
    <t>14077</t>
  </si>
  <si>
    <t>21237</t>
  </si>
  <si>
    <t>21300</t>
  </si>
  <si>
    <t>Apr 2019</t>
  </si>
  <si>
    <t>Ocean Beach</t>
  </si>
  <si>
    <t>25101</t>
  </si>
  <si>
    <t>Quincy</t>
  </si>
  <si>
    <t>13144</t>
  </si>
  <si>
    <t>Sept 2019</t>
  </si>
  <si>
    <t>28149</t>
  </si>
  <si>
    <t>San Juan</t>
  </si>
  <si>
    <t>Othello</t>
  </si>
  <si>
    <t>College Place</t>
  </si>
  <si>
    <t>Wapato</t>
  </si>
  <si>
    <t>Stevenson Carson</t>
  </si>
  <si>
    <t>Naches Valley</t>
  </si>
  <si>
    <t>Highland</t>
  </si>
  <si>
    <t>Fife</t>
  </si>
  <si>
    <t>East Valley (Yak)</t>
  </si>
  <si>
    <t>36250</t>
  </si>
  <si>
    <t>39090</t>
  </si>
  <si>
    <t>27417</t>
  </si>
  <si>
    <t>39203</t>
  </si>
  <si>
    <t>39207</t>
  </si>
  <si>
    <t>30303</t>
  </si>
  <si>
    <t>01147</t>
  </si>
  <si>
    <t>39003</t>
  </si>
  <si>
    <t>2019-20</t>
  </si>
  <si>
    <t>Renton TC</t>
  </si>
  <si>
    <t>17941</t>
  </si>
  <si>
    <t>Jan 2020</t>
  </si>
  <si>
    <t>Medical Lake</t>
  </si>
  <si>
    <t>Apr 2020</t>
  </si>
  <si>
    <t>32326</t>
  </si>
  <si>
    <t>Wahluke</t>
  </si>
  <si>
    <t>13073</t>
  </si>
  <si>
    <t>13160</t>
  </si>
  <si>
    <t>Royal</t>
  </si>
  <si>
    <t>39209</t>
  </si>
  <si>
    <t>Mount Adams</t>
  </si>
  <si>
    <t>2020-21</t>
  </si>
  <si>
    <t>27401</t>
  </si>
  <si>
    <t>Peninsula</t>
  </si>
  <si>
    <t>21206</t>
  </si>
  <si>
    <t>Mossyrock</t>
  </si>
  <si>
    <t>32903</t>
  </si>
  <si>
    <t>Lumen Charter</t>
  </si>
  <si>
    <t>Finley</t>
  </si>
  <si>
    <t>03053</t>
  </si>
  <si>
    <t>23403</t>
  </si>
  <si>
    <t>North Mason</t>
  </si>
  <si>
    <t>Orting</t>
  </si>
  <si>
    <t>27344</t>
  </si>
  <si>
    <t>2021-22</t>
  </si>
  <si>
    <t>Pullman</t>
  </si>
  <si>
    <t>38267</t>
  </si>
  <si>
    <t>Issaquah</t>
  </si>
  <si>
    <t>17411</t>
  </si>
  <si>
    <t>Freeman</t>
  </si>
  <si>
    <t>32358</t>
  </si>
  <si>
    <t>Granger</t>
  </si>
  <si>
    <t>39204</t>
  </si>
  <si>
    <t>Sumner</t>
  </si>
  <si>
    <t>27320</t>
  </si>
  <si>
    <t>Lake Stevens</t>
  </si>
  <si>
    <t>31004</t>
  </si>
  <si>
    <t>2022-23</t>
  </si>
  <si>
    <t>32907</t>
  </si>
  <si>
    <t>31201</t>
  </si>
  <si>
    <t>Snohomish</t>
  </si>
  <si>
    <t>Soap Lake</t>
  </si>
  <si>
    <t>13156</t>
  </si>
  <si>
    <t>39901</t>
  </si>
  <si>
    <t>Yakama Nation</t>
  </si>
  <si>
    <t>Darrington</t>
  </si>
  <si>
    <t>31330</t>
  </si>
  <si>
    <t>Castle Rock</t>
  </si>
  <si>
    <t>08401</t>
  </si>
  <si>
    <t>2023-24</t>
  </si>
  <si>
    <t>Rosalia</t>
  </si>
  <si>
    <t>38320</t>
  </si>
  <si>
    <t>Newport</t>
  </si>
  <si>
    <t>26056</t>
  </si>
  <si>
    <t>Kalama</t>
  </si>
  <si>
    <t>08402</t>
  </si>
  <si>
    <t>24105</t>
  </si>
  <si>
    <t>Okanogan</t>
  </si>
  <si>
    <t>Omak</t>
  </si>
  <si>
    <t>24019</t>
  </si>
  <si>
    <t>Klickitat</t>
  </si>
  <si>
    <t>20402</t>
  </si>
  <si>
    <t>Port Townsend</t>
  </si>
  <si>
    <t>16050</t>
  </si>
  <si>
    <t>Davenport</t>
  </si>
  <si>
    <t>Innovation Spokane Charter</t>
  </si>
  <si>
    <t>22207</t>
  </si>
  <si>
    <t>35200</t>
  </si>
  <si>
    <t>Wahkiakum</t>
  </si>
  <si>
    <t>2024-25</t>
  </si>
  <si>
    <t>Kettle Falls</t>
  </si>
  <si>
    <t>33212</t>
  </si>
  <si>
    <t>26059</t>
  </si>
  <si>
    <t>Cusick</t>
  </si>
  <si>
    <t>August</t>
  </si>
  <si>
    <t>South Kitsap</t>
  </si>
  <si>
    <t>18402</t>
  </si>
  <si>
    <t>Bainbridge Island</t>
  </si>
  <si>
    <t>18303</t>
  </si>
  <si>
    <t>2025-26</t>
  </si>
  <si>
    <t># of Months for 25-26</t>
  </si>
  <si>
    <t>22009</t>
  </si>
  <si>
    <t>Reardan</t>
  </si>
  <si>
    <t>6528.90$A$6:$D$317,3,0)</t>
  </si>
  <si>
    <t>As of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</si>
</sst>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9C0006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4"/>
      <color rgb="FFC00000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88">
    <xf numFmtId="0" fontId="0" fillId="0" borderId="0" xfId="0"/>
    <xf numFmtId="0" fontId="2" fillId="0" borderId="0" xfId="0" applyFont="1"/>
    <xf numFmtId="0" fontId="2" fillId="0" borderId="0" xfId="2" applyFont="1" applyFill="1" applyBorder="1"/>
    <xf numFmtId="43" fontId="2" fillId="0" borderId="0" xfId="1" applyFont="1" applyFill="1" applyBorder="1"/>
    <xf numFmtId="0" fontId="2" fillId="0" borderId="9" xfId="0" applyFont="1" applyBorder="1"/>
    <xf numFmtId="0" fontId="2" fillId="0" borderId="0" xfId="0" quotePrefix="1" applyFont="1"/>
    <xf numFmtId="17" fontId="2" fillId="0" borderId="0" xfId="0" quotePrefix="1" applyNumberFormat="1" applyFont="1"/>
    <xf numFmtId="0" fontId="2" fillId="0" borderId="7" xfId="0" applyFont="1" applyBorder="1"/>
    <xf numFmtId="43" fontId="2" fillId="0" borderId="20" xfId="1" applyFont="1" applyFill="1" applyBorder="1"/>
    <xf numFmtId="43" fontId="2" fillId="0" borderId="21" xfId="1" applyFont="1" applyFill="1" applyBorder="1"/>
    <xf numFmtId="43" fontId="2" fillId="0" borderId="22" xfId="1" applyFont="1" applyFill="1" applyBorder="1"/>
    <xf numFmtId="17" fontId="2" fillId="0" borderId="7" xfId="0" quotePrefix="1" applyNumberFormat="1" applyFont="1" applyBorder="1"/>
    <xf numFmtId="17" fontId="2" fillId="0" borderId="9" xfId="0" quotePrefix="1" applyNumberFormat="1" applyFont="1" applyBorder="1"/>
    <xf numFmtId="0" fontId="9" fillId="0" borderId="0" xfId="0" applyFont="1"/>
    <xf numFmtId="43" fontId="2" fillId="0" borderId="9" xfId="1" applyFont="1" applyFill="1" applyBorder="1"/>
    <xf numFmtId="43" fontId="2" fillId="0" borderId="7" xfId="1" applyFont="1" applyFill="1" applyBorder="1"/>
    <xf numFmtId="43" fontId="2" fillId="0" borderId="13" xfId="1" applyFont="1" applyFill="1" applyBorder="1"/>
    <xf numFmtId="43" fontId="2" fillId="0" borderId="14" xfId="1" applyFont="1" applyFill="1" applyBorder="1"/>
    <xf numFmtId="43" fontId="2" fillId="0" borderId="12" xfId="1" applyFont="1" applyFill="1" applyBorder="1"/>
    <xf numFmtId="43" fontId="2" fillId="0" borderId="11" xfId="1" applyFont="1" applyFill="1" applyBorder="1"/>
    <xf numFmtId="43" fontId="2" fillId="0" borderId="5" xfId="1" applyFont="1" applyFill="1" applyBorder="1"/>
    <xf numFmtId="43" fontId="2" fillId="0" borderId="10" xfId="1" applyFont="1" applyFill="1" applyBorder="1"/>
    <xf numFmtId="0" fontId="2" fillId="0" borderId="8" xfId="0" applyFont="1" applyBorder="1"/>
    <xf numFmtId="43" fontId="2" fillId="0" borderId="8" xfId="1" applyFont="1" applyFill="1" applyBorder="1"/>
    <xf numFmtId="43" fontId="2" fillId="0" borderId="27" xfId="1" applyFont="1" applyFill="1" applyBorder="1"/>
    <xf numFmtId="0" fontId="2" fillId="0" borderId="21" xfId="0" quotePrefix="1" applyFont="1" applyBorder="1"/>
    <xf numFmtId="0" fontId="2" fillId="0" borderId="22" xfId="0" quotePrefix="1" applyFont="1" applyBorder="1"/>
    <xf numFmtId="0" fontId="2" fillId="0" borderId="20" xfId="0" quotePrefix="1" applyFont="1" applyBorder="1"/>
    <xf numFmtId="0" fontId="2" fillId="0" borderId="16" xfId="0" quotePrefix="1" applyFont="1" applyBorder="1"/>
    <xf numFmtId="0" fontId="4" fillId="0" borderId="0" xfId="0" applyFont="1"/>
    <xf numFmtId="0" fontId="5" fillId="0" borderId="0" xfId="0" applyFont="1"/>
    <xf numFmtId="0" fontId="12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43" fontId="2" fillId="0" borderId="0" xfId="0" applyNumberFormat="1" applyFont="1"/>
    <xf numFmtId="43" fontId="2" fillId="0" borderId="0" xfId="1" applyFont="1" applyFill="1"/>
    <xf numFmtId="0" fontId="10" fillId="0" borderId="0" xfId="0" applyFont="1" applyAlignment="1">
      <alignment horizontal="left" indent="4"/>
    </xf>
    <xf numFmtId="43" fontId="0" fillId="0" borderId="0" xfId="1" applyFont="1" applyFill="1"/>
    <xf numFmtId="0" fontId="7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6" fillId="0" borderId="3" xfId="0" applyFont="1" applyBorder="1" applyAlignment="1">
      <alignment horizontal="center"/>
    </xf>
    <xf numFmtId="0" fontId="9" fillId="0" borderId="3" xfId="0" applyFont="1" applyBorder="1"/>
    <xf numFmtId="0" fontId="6" fillId="0" borderId="23" xfId="0" applyFont="1" applyBorder="1" applyAlignment="1">
      <alignment horizontal="center"/>
    </xf>
    <xf numFmtId="43" fontId="6" fillId="0" borderId="25" xfId="1" applyFont="1" applyFill="1" applyBorder="1" applyAlignment="1">
      <alignment horizontal="center"/>
    </xf>
    <xf numFmtId="0" fontId="2" fillId="0" borderId="24" xfId="0" applyFont="1" applyBorder="1"/>
    <xf numFmtId="43" fontId="6" fillId="0" borderId="25" xfId="1" applyFont="1" applyFill="1" applyBorder="1"/>
    <xf numFmtId="43" fontId="2" fillId="0" borderId="3" xfId="1" applyFont="1" applyFill="1" applyBorder="1" applyAlignment="1">
      <alignment wrapText="1"/>
    </xf>
    <xf numFmtId="43" fontId="2" fillId="0" borderId="3" xfId="1" applyFont="1" applyFill="1" applyBorder="1"/>
    <xf numFmtId="0" fontId="6" fillId="0" borderId="17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43" fontId="6" fillId="0" borderId="1" xfId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43" fontId="6" fillId="0" borderId="0" xfId="1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20" xfId="0" applyFont="1" applyBorder="1"/>
    <xf numFmtId="43" fontId="0" fillId="0" borderId="5" xfId="1" applyFont="1" applyFill="1" applyBorder="1"/>
    <xf numFmtId="43" fontId="9" fillId="0" borderId="0" xfId="1" applyFont="1" applyFill="1" applyBorder="1"/>
    <xf numFmtId="43" fontId="2" fillId="0" borderId="20" xfId="0" applyNumberFormat="1" applyFont="1" applyBorder="1"/>
    <xf numFmtId="0" fontId="2" fillId="0" borderId="21" xfId="0" applyFont="1" applyBorder="1"/>
    <xf numFmtId="43" fontId="2" fillId="0" borderId="21" xfId="0" applyNumberFormat="1" applyFont="1" applyBorder="1"/>
    <xf numFmtId="43" fontId="0" fillId="0" borderId="11" xfId="1" applyFont="1" applyFill="1" applyBorder="1"/>
    <xf numFmtId="43" fontId="9" fillId="0" borderId="9" xfId="1" applyFont="1" applyFill="1" applyBorder="1"/>
    <xf numFmtId="0" fontId="2" fillId="0" borderId="13" xfId="0" applyFont="1" applyBorder="1"/>
    <xf numFmtId="43" fontId="0" fillId="0" borderId="10" xfId="1" applyFont="1" applyFill="1" applyBorder="1"/>
    <xf numFmtId="43" fontId="9" fillId="0" borderId="7" xfId="1" applyFont="1" applyFill="1" applyBorder="1"/>
    <xf numFmtId="43" fontId="2" fillId="0" borderId="22" xfId="0" applyNumberFormat="1" applyFont="1" applyBorder="1"/>
    <xf numFmtId="43" fontId="2" fillId="0" borderId="7" xfId="0" applyNumberFormat="1" applyFont="1" applyBorder="1"/>
    <xf numFmtId="0" fontId="2" fillId="0" borderId="5" xfId="0" applyFont="1" applyBorder="1"/>
    <xf numFmtId="14" fontId="2" fillId="0" borderId="0" xfId="0" quotePrefix="1" applyNumberFormat="1" applyFont="1"/>
    <xf numFmtId="0" fontId="0" fillId="0" borderId="21" xfId="0" applyBorder="1"/>
    <xf numFmtId="17" fontId="2" fillId="0" borderId="21" xfId="0" quotePrefix="1" applyNumberFormat="1" applyFont="1" applyBorder="1"/>
    <xf numFmtId="0" fontId="2" fillId="0" borderId="7" xfId="0" quotePrefix="1" applyFont="1" applyBorder="1"/>
    <xf numFmtId="0" fontId="2" fillId="0" borderId="21" xfId="0" applyFont="1" applyBorder="1" applyAlignment="1">
      <alignment horizontal="left"/>
    </xf>
    <xf numFmtId="17" fontId="2" fillId="0" borderId="8" xfId="0" quotePrefix="1" applyNumberFormat="1" applyFont="1" applyBorder="1"/>
    <xf numFmtId="17" fontId="2" fillId="0" borderId="1" xfId="0" quotePrefix="1" applyNumberFormat="1" applyFont="1" applyBorder="1"/>
    <xf numFmtId="17" fontId="6" fillId="0" borderId="0" xfId="0" quotePrefix="1" applyNumberFormat="1" applyFont="1"/>
    <xf numFmtId="0" fontId="2" fillId="0" borderId="0" xfId="0" applyFont="1" applyAlignment="1">
      <alignment horizontal="center"/>
    </xf>
    <xf numFmtId="43" fontId="2" fillId="3" borderId="0" xfId="1" applyFont="1" applyFill="1" applyBorder="1"/>
    <xf numFmtId="0" fontId="2" fillId="3" borderId="0" xfId="0" applyFont="1" applyFill="1"/>
    <xf numFmtId="43" fontId="2" fillId="3" borderId="21" xfId="1" applyFont="1" applyFill="1" applyBorder="1"/>
    <xf numFmtId="43" fontId="2" fillId="3" borderId="5" xfId="1" applyFont="1" applyFill="1" applyBorder="1"/>
    <xf numFmtId="43" fontId="2" fillId="3" borderId="13" xfId="1" applyFont="1" applyFill="1" applyBorder="1"/>
    <xf numFmtId="43" fontId="9" fillId="3" borderId="0" xfId="1" applyFont="1" applyFill="1" applyBorder="1"/>
    <xf numFmtId="43" fontId="2" fillId="3" borderId="15" xfId="1" applyFont="1" applyFill="1" applyBorder="1"/>
    <xf numFmtId="43" fontId="2" fillId="3" borderId="16" xfId="1" applyFont="1" applyFill="1" applyBorder="1"/>
    <xf numFmtId="0" fontId="2" fillId="3" borderId="0" xfId="2" applyFont="1" applyFill="1" applyBorder="1"/>
    <xf numFmtId="0" fontId="2" fillId="3" borderId="5" xfId="2" applyFont="1" applyFill="1" applyBorder="1"/>
    <xf numFmtId="43" fontId="2" fillId="3" borderId="21" xfId="0" applyNumberFormat="1" applyFont="1" applyFill="1" applyBorder="1"/>
    <xf numFmtId="43" fontId="2" fillId="3" borderId="20" xfId="1" applyFont="1" applyFill="1" applyBorder="1"/>
    <xf numFmtId="43" fontId="2" fillId="3" borderId="9" xfId="1" applyFont="1" applyFill="1" applyBorder="1"/>
    <xf numFmtId="43" fontId="2" fillId="3" borderId="20" xfId="0" applyNumberFormat="1" applyFont="1" applyFill="1" applyBorder="1"/>
    <xf numFmtId="43" fontId="2" fillId="3" borderId="14" xfId="1" applyFont="1" applyFill="1" applyBorder="1"/>
    <xf numFmtId="0" fontId="2" fillId="3" borderId="13" xfId="0" applyFont="1" applyFill="1" applyBorder="1"/>
    <xf numFmtId="0" fontId="2" fillId="3" borderId="12" xfId="0" applyFont="1" applyFill="1" applyBorder="1"/>
    <xf numFmtId="43" fontId="2" fillId="3" borderId="22" xfId="1" applyFont="1" applyFill="1" applyBorder="1"/>
    <xf numFmtId="43" fontId="2" fillId="3" borderId="7" xfId="1" applyFont="1" applyFill="1" applyBorder="1"/>
    <xf numFmtId="43" fontId="2" fillId="3" borderId="22" xfId="0" applyNumberFormat="1" applyFont="1" applyFill="1" applyBorder="1"/>
    <xf numFmtId="43" fontId="2" fillId="3" borderId="0" xfId="0" applyNumberFormat="1" applyFont="1" applyFill="1"/>
    <xf numFmtId="0" fontId="2" fillId="3" borderId="14" xfId="0" applyFont="1" applyFill="1" applyBorder="1"/>
    <xf numFmtId="0" fontId="2" fillId="3" borderId="5" xfId="0" applyFont="1" applyFill="1" applyBorder="1"/>
    <xf numFmtId="43" fontId="2" fillId="3" borderId="10" xfId="1" applyFont="1" applyFill="1" applyBorder="1"/>
    <xf numFmtId="43" fontId="2" fillId="3" borderId="12" xfId="1" applyFont="1" applyFill="1" applyBorder="1"/>
    <xf numFmtId="0" fontId="2" fillId="3" borderId="21" xfId="0" applyFont="1" applyFill="1" applyBorder="1"/>
    <xf numFmtId="43" fontId="0" fillId="3" borderId="5" xfId="1" applyFont="1" applyFill="1" applyBorder="1"/>
    <xf numFmtId="43" fontId="2" fillId="3" borderId="11" xfId="1" applyFont="1" applyFill="1" applyBorder="1"/>
    <xf numFmtId="43" fontId="9" fillId="3" borderId="9" xfId="1" applyFont="1" applyFill="1" applyBorder="1"/>
    <xf numFmtId="43" fontId="0" fillId="0" borderId="14" xfId="1" applyFont="1" applyFill="1" applyBorder="1"/>
    <xf numFmtId="43" fontId="0" fillId="0" borderId="13" xfId="1" applyFont="1" applyFill="1" applyBorder="1"/>
    <xf numFmtId="43" fontId="0" fillId="0" borderId="12" xfId="1" applyFont="1" applyFill="1" applyBorder="1"/>
    <xf numFmtId="43" fontId="2" fillId="3" borderId="13" xfId="0" applyNumberFormat="1" applyFont="1" applyFill="1" applyBorder="1"/>
    <xf numFmtId="43" fontId="2" fillId="0" borderId="13" xfId="0" applyNumberFormat="1" applyFont="1" applyBorder="1"/>
    <xf numFmtId="0" fontId="6" fillId="0" borderId="0" xfId="0" applyFont="1" applyAlignment="1">
      <alignment vertical="top"/>
    </xf>
    <xf numFmtId="43" fontId="6" fillId="0" borderId="13" xfId="1" applyFont="1" applyFill="1" applyBorder="1" applyAlignment="1">
      <alignment horizontal="center" vertical="top"/>
    </xf>
    <xf numFmtId="43" fontId="6" fillId="0" borderId="5" xfId="1" applyFont="1" applyFill="1" applyBorder="1" applyAlignment="1">
      <alignment horizontal="center" vertical="top"/>
    </xf>
    <xf numFmtId="43" fontId="10" fillId="0" borderId="0" xfId="1" applyFont="1" applyFill="1" applyBorder="1" applyAlignment="1">
      <alignment horizontal="center" vertical="top"/>
    </xf>
    <xf numFmtId="43" fontId="6" fillId="0" borderId="21" xfId="1" applyFont="1" applyFill="1" applyBorder="1" applyAlignment="1">
      <alignment horizontal="center" vertical="top"/>
    </xf>
    <xf numFmtId="43" fontId="6" fillId="0" borderId="0" xfId="1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/>
    </xf>
    <xf numFmtId="0" fontId="6" fillId="0" borderId="1" xfId="0" applyFont="1" applyBorder="1"/>
    <xf numFmtId="43" fontId="0" fillId="3" borderId="13" xfId="1" applyFont="1" applyFill="1" applyBorder="1"/>
    <xf numFmtId="43" fontId="0" fillId="3" borderId="14" xfId="1" applyFont="1" applyFill="1" applyBorder="1"/>
    <xf numFmtId="43" fontId="0" fillId="3" borderId="11" xfId="1" applyFont="1" applyFill="1" applyBorder="1"/>
    <xf numFmtId="43" fontId="2" fillId="3" borderId="8" xfId="1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43" fontId="6" fillId="0" borderId="0" xfId="0" applyNumberFormat="1" applyFont="1" applyAlignment="1">
      <alignment horizontal="right"/>
    </xf>
    <xf numFmtId="0" fontId="2" fillId="0" borderId="7" xfId="2" applyFont="1" applyFill="1" applyBorder="1"/>
    <xf numFmtId="43" fontId="2" fillId="0" borderId="9" xfId="1" applyFont="1" applyBorder="1"/>
    <xf numFmtId="0" fontId="6" fillId="0" borderId="25" xfId="0" applyFont="1" applyBorder="1" applyAlignment="1">
      <alignment horizontal="center"/>
    </xf>
    <xf numFmtId="0" fontId="2" fillId="3" borderId="27" xfId="0" applyFont="1" applyFill="1" applyBorder="1"/>
    <xf numFmtId="43" fontId="2" fillId="0" borderId="11" xfId="1" applyFont="1" applyBorder="1"/>
    <xf numFmtId="43" fontId="2" fillId="0" borderId="0" xfId="1" applyFont="1" applyBorder="1"/>
    <xf numFmtId="43" fontId="2" fillId="0" borderId="7" xfId="1" applyFont="1" applyBorder="1"/>
    <xf numFmtId="0" fontId="6" fillId="0" borderId="0" xfId="0" applyFont="1" applyAlignment="1">
      <alignment horizontal="left"/>
    </xf>
    <xf numFmtId="49" fontId="11" fillId="0" borderId="21" xfId="0" applyNumberFormat="1" applyFont="1" applyBorder="1"/>
    <xf numFmtId="0" fontId="2" fillId="0" borderId="22" xfId="0" applyFont="1" applyBorder="1"/>
    <xf numFmtId="43" fontId="2" fillId="3" borderId="14" xfId="0" applyNumberFormat="1" applyFont="1" applyFill="1" applyBorder="1"/>
    <xf numFmtId="43" fontId="2" fillId="3" borderId="12" xfId="0" applyNumberFormat="1" applyFont="1" applyFill="1" applyBorder="1"/>
    <xf numFmtId="43" fontId="2" fillId="3" borderId="27" xfId="1" applyFont="1" applyFill="1" applyBorder="1"/>
    <xf numFmtId="43" fontId="9" fillId="3" borderId="8" xfId="1" applyFont="1" applyFill="1" applyBorder="1"/>
    <xf numFmtId="43" fontId="2" fillId="0" borderId="16" xfId="1" applyFont="1" applyFill="1" applyBorder="1"/>
    <xf numFmtId="43" fontId="2" fillId="3" borderId="16" xfId="0" applyNumberFormat="1" applyFont="1" applyFill="1" applyBorder="1"/>
    <xf numFmtId="0" fontId="2" fillId="3" borderId="15" xfId="0" applyFont="1" applyFill="1" applyBorder="1"/>
    <xf numFmtId="43" fontId="2" fillId="0" borderId="8" xfId="1" applyFont="1" applyBorder="1"/>
    <xf numFmtId="43" fontId="2" fillId="0" borderId="5" xfId="1" applyFont="1" applyBorder="1"/>
    <xf numFmtId="43" fontId="2" fillId="0" borderId="10" xfId="1" applyFont="1" applyBorder="1"/>
    <xf numFmtId="43" fontId="2" fillId="0" borderId="27" xfId="1" applyFont="1" applyBorder="1"/>
    <xf numFmtId="0" fontId="2" fillId="0" borderId="0" xfId="0" applyFont="1" applyAlignment="1">
      <alignment horizontal="left"/>
    </xf>
    <xf numFmtId="43" fontId="2" fillId="0" borderId="20" xfId="1" applyFont="1" applyBorder="1"/>
    <xf numFmtId="43" fontId="2" fillId="0" borderId="21" xfId="1" applyFont="1" applyBorder="1"/>
    <xf numFmtId="43" fontId="2" fillId="0" borderId="22" xfId="1" applyFont="1" applyBorder="1"/>
    <xf numFmtId="43" fontId="2" fillId="0" borderId="16" xfId="1" applyFont="1" applyBorder="1"/>
    <xf numFmtId="43" fontId="0" fillId="0" borderId="15" xfId="1" applyFont="1" applyFill="1" applyBorder="1"/>
    <xf numFmtId="43" fontId="0" fillId="0" borderId="27" xfId="1" applyFont="1" applyFill="1" applyBorder="1"/>
    <xf numFmtId="43" fontId="2" fillId="0" borderId="15" xfId="1" applyFont="1" applyFill="1" applyBorder="1"/>
    <xf numFmtId="43" fontId="9" fillId="0" borderId="8" xfId="1" applyFont="1" applyFill="1" applyBorder="1"/>
    <xf numFmtId="43" fontId="9" fillId="3" borderId="7" xfId="1" applyFont="1" applyFill="1" applyBorder="1"/>
    <xf numFmtId="0" fontId="2" fillId="3" borderId="7" xfId="2" applyFont="1" applyFill="1" applyBorder="1"/>
    <xf numFmtId="0" fontId="2" fillId="3" borderId="10" xfId="2" applyFont="1" applyFill="1" applyBorder="1"/>
    <xf numFmtId="0" fontId="6" fillId="0" borderId="25" xfId="0" applyFont="1" applyBorder="1" applyAlignment="1">
      <alignment horizontal="center" vertical="top"/>
    </xf>
    <xf numFmtId="0" fontId="0" fillId="0" borderId="20" xfId="0" applyBorder="1"/>
    <xf numFmtId="49" fontId="11" fillId="0" borderId="20" xfId="0" applyNumberFormat="1" applyFont="1" applyBorder="1"/>
    <xf numFmtId="0" fontId="11" fillId="0" borderId="9" xfId="0" applyFont="1" applyBorder="1"/>
    <xf numFmtId="0" fontId="2" fillId="3" borderId="8" xfId="2" applyFont="1" applyFill="1" applyBorder="1"/>
    <xf numFmtId="49" fontId="11" fillId="0" borderId="0" xfId="0" applyNumberFormat="1" applyFont="1"/>
    <xf numFmtId="0" fontId="11" fillId="0" borderId="0" xfId="0" applyFont="1"/>
    <xf numFmtId="0" fontId="10" fillId="0" borderId="0" xfId="0" applyFont="1"/>
    <xf numFmtId="43" fontId="6" fillId="0" borderId="24" xfId="1" applyFont="1" applyFill="1" applyBorder="1" applyAlignment="1">
      <alignment horizontal="center" vertical="top"/>
    </xf>
    <xf numFmtId="0" fontId="2" fillId="0" borderId="11" xfId="0" applyFont="1" applyBorder="1"/>
    <xf numFmtId="0" fontId="2" fillId="0" borderId="10" xfId="0" applyFont="1" applyBorder="1"/>
    <xf numFmtId="0" fontId="2" fillId="0" borderId="5" xfId="2" applyFont="1" applyFill="1" applyBorder="1"/>
    <xf numFmtId="0" fontId="2" fillId="0" borderId="10" xfId="2" applyFont="1" applyFill="1" applyBorder="1"/>
    <xf numFmtId="0" fontId="2" fillId="0" borderId="5" xfId="0" applyFont="1" applyBorder="1" applyAlignment="1">
      <alignment horizontal="left"/>
    </xf>
    <xf numFmtId="0" fontId="11" fillId="0" borderId="11" xfId="0" applyFont="1" applyBorder="1"/>
    <xf numFmtId="43" fontId="6" fillId="0" borderId="3" xfId="1" applyFont="1" applyFill="1" applyBorder="1" applyAlignment="1">
      <alignment horizontal="center" vertical="top"/>
    </xf>
    <xf numFmtId="43" fontId="0" fillId="3" borderId="12" xfId="1" applyFont="1" applyFill="1" applyBorder="1"/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</cellXfs>
  <cellStyles count="3"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E224"/>
  <sheetViews>
    <sheetView tabSelected="1" zoomScaleNormal="100" zoomScaleSheetLayoutView="100" workbookViewId="0">
      <pane xSplit="3" ySplit="6" topLeftCell="D7" activePane="bottomRight" state="frozen"/>
      <selection pane="topRight" activeCell="E1" sqref="E1"/>
      <selection pane="bottomLeft" activeCell="A5" sqref="A5"/>
      <selection pane="bottomRight" activeCell="G11" sqref="G11"/>
    </sheetView>
  </sheetViews>
  <sheetFormatPr defaultColWidth="8.85546875" defaultRowHeight="15" x14ac:dyDescent="0.25"/>
  <cols>
    <col min="1" max="1" width="11" style="1" hidden="1" customWidth="1"/>
    <col min="2" max="2" width="6.140625" style="1" bestFit="1" customWidth="1"/>
    <col min="3" max="3" width="25.42578125" style="1" bestFit="1" customWidth="1"/>
    <col min="4" max="8" width="10.42578125" style="1" customWidth="1"/>
    <col min="9" max="16" width="10.42578125" style="1" hidden="1" customWidth="1"/>
    <col min="17" max="17" width="10.42578125" style="1" customWidth="1"/>
    <col min="18" max="29" width="10.42578125" style="1" hidden="1" customWidth="1"/>
    <col min="30" max="30" width="10.42578125" style="1" customWidth="1"/>
    <col min="31" max="42" width="10.42578125" style="1" hidden="1" customWidth="1"/>
    <col min="43" max="43" width="10.42578125" style="1" bestFit="1" customWidth="1"/>
    <col min="44" max="48" width="10.42578125" style="1" hidden="1" customWidth="1"/>
    <col min="49" max="55" width="9.5703125" style="1" hidden="1" customWidth="1"/>
    <col min="56" max="56" width="9.5703125" style="1" customWidth="1"/>
    <col min="57" max="68" width="9.5703125" style="1" hidden="1" customWidth="1"/>
    <col min="69" max="69" width="9.5703125" style="1" customWidth="1"/>
    <col min="70" max="81" width="9.5703125" style="1" hidden="1" customWidth="1"/>
    <col min="82" max="82" width="9.5703125" style="1" customWidth="1"/>
    <col min="83" max="89" width="9.5703125" style="1" hidden="1" customWidth="1"/>
    <col min="90" max="91" width="9.5703125" style="13" hidden="1" customWidth="1"/>
    <col min="92" max="94" width="9.5703125" style="1" hidden="1" customWidth="1"/>
    <col min="95" max="95" width="9.5703125" style="1" customWidth="1"/>
    <col min="96" max="107" width="9.5703125" style="1" hidden="1" customWidth="1"/>
    <col min="108" max="108" width="9.5703125" style="1" customWidth="1"/>
    <col min="109" max="120" width="9.5703125" style="1" hidden="1" customWidth="1"/>
    <col min="121" max="121" width="9.5703125" style="1" customWidth="1"/>
    <col min="122" max="133" width="9.5703125" style="1" hidden="1" customWidth="1"/>
    <col min="134" max="134" width="10.42578125" style="1" customWidth="1"/>
    <col min="135" max="146" width="9.5703125" style="1" hidden="1" customWidth="1"/>
    <col min="147" max="147" width="9.5703125" style="1" customWidth="1"/>
    <col min="148" max="158" width="9.5703125" style="1" hidden="1" customWidth="1"/>
    <col min="159" max="159" width="9.5703125" style="35" hidden="1" customWidth="1"/>
    <col min="160" max="160" width="9.5703125" style="1" customWidth="1"/>
    <col min="161" max="161" width="9.5703125" style="1" hidden="1" customWidth="1"/>
    <col min="162" max="162" width="9.5703125" style="39" hidden="1" customWidth="1"/>
    <col min="163" max="172" width="9.5703125" style="1" hidden="1" customWidth="1"/>
    <col min="173" max="174" width="9.140625" style="1" customWidth="1"/>
    <col min="175" max="182" width="9.140625" style="1" hidden="1" customWidth="1"/>
    <col min="183" max="183" width="9.140625" style="1" customWidth="1"/>
    <col min="184" max="184" width="2.7109375" style="1" customWidth="1"/>
    <col min="185" max="185" width="12.7109375" style="1" customWidth="1"/>
    <col min="186" max="189" width="9.140625" style="1" customWidth="1"/>
    <col min="190" max="190" width="8.85546875" style="1"/>
    <col min="191" max="191" width="9.5703125" style="1" bestFit="1" customWidth="1"/>
    <col min="192" max="16384" width="8.85546875" style="1"/>
  </cols>
  <sheetData>
    <row r="1" spans="1:183" ht="18.75" x14ac:dyDescent="0.3">
      <c r="B1" s="29" t="s">
        <v>238</v>
      </c>
      <c r="C1" s="30"/>
      <c r="D1" s="30"/>
      <c r="E1" s="30"/>
      <c r="F1" s="30"/>
      <c r="I1" s="30"/>
      <c r="J1" s="30"/>
      <c r="K1" s="30"/>
      <c r="L1" s="30"/>
      <c r="M1" s="30"/>
      <c r="N1" s="30"/>
      <c r="O1" s="30"/>
      <c r="P1" s="30"/>
      <c r="Q1" s="86"/>
      <c r="R1" s="143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T1" s="30"/>
      <c r="AU1" s="30"/>
      <c r="AY1" s="30"/>
      <c r="AZ1" s="30"/>
      <c r="BA1" s="30"/>
      <c r="BB1" s="30"/>
      <c r="BC1" s="30"/>
      <c r="BI1" s="31"/>
      <c r="BJ1" s="30"/>
      <c r="BK1" s="30"/>
      <c r="BL1" s="30"/>
      <c r="BM1" s="30"/>
      <c r="BN1" s="30"/>
      <c r="BO1" s="30"/>
      <c r="BR1" s="32"/>
      <c r="BU1" s="30"/>
      <c r="BV1" s="30"/>
      <c r="BZ1" s="30"/>
      <c r="CA1" s="30"/>
      <c r="CB1" s="30"/>
      <c r="CC1" s="30"/>
      <c r="CG1" s="30"/>
      <c r="CH1" s="30"/>
      <c r="CI1" s="30"/>
      <c r="CJ1" s="30"/>
      <c r="CK1" s="30"/>
      <c r="CL1" s="33"/>
      <c r="CM1" s="33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0"/>
      <c r="DR1" s="30"/>
      <c r="DS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5"/>
      <c r="EF1" s="35"/>
      <c r="EG1" s="35"/>
      <c r="EH1" s="35"/>
      <c r="EI1" s="35"/>
      <c r="EJ1" s="30"/>
      <c r="EK1" s="30"/>
      <c r="EL1" s="30"/>
      <c r="EM1" s="30"/>
      <c r="EN1" s="30"/>
      <c r="EO1" s="30"/>
      <c r="EP1" s="30"/>
      <c r="FF1" s="1"/>
    </row>
    <row r="2" spans="1:183" ht="15" customHeight="1" x14ac:dyDescent="0.3">
      <c r="B2" s="1" t="s">
        <v>434</v>
      </c>
      <c r="E2" s="86">
        <v>4</v>
      </c>
      <c r="F2" s="143" t="s">
        <v>430</v>
      </c>
      <c r="V2" s="34"/>
      <c r="W2" s="34"/>
      <c r="X2" s="34"/>
      <c r="Y2" s="34"/>
      <c r="Z2" s="34"/>
      <c r="AA2" s="34"/>
      <c r="AB2" s="34"/>
      <c r="AC2" s="34"/>
      <c r="AD2" s="86"/>
      <c r="AE2" s="143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2"/>
      <c r="AR2" s="86"/>
      <c r="AT2" s="30"/>
      <c r="AU2" s="30"/>
      <c r="AY2" s="30"/>
      <c r="AZ2" s="30"/>
      <c r="BA2" s="30"/>
      <c r="BB2" s="30"/>
      <c r="BC2" s="30"/>
      <c r="BI2" s="31"/>
      <c r="BJ2" s="30"/>
      <c r="BK2" s="30"/>
      <c r="BL2" s="30"/>
      <c r="BM2" s="30"/>
      <c r="BN2" s="30"/>
      <c r="BO2" s="30"/>
      <c r="BR2" s="32"/>
      <c r="BU2" s="30"/>
      <c r="BV2" s="30"/>
      <c r="BZ2" s="30"/>
      <c r="CA2" s="30"/>
      <c r="CB2" s="30"/>
      <c r="CC2" s="30"/>
      <c r="CG2" s="30"/>
      <c r="CH2" s="30"/>
      <c r="CI2" s="30"/>
      <c r="CJ2" s="30"/>
      <c r="CK2" s="30"/>
      <c r="CL2" s="33"/>
      <c r="CM2" s="33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0"/>
      <c r="DR2" s="30"/>
      <c r="DS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5"/>
      <c r="EF2" s="35"/>
      <c r="EG2" s="35"/>
      <c r="EH2" s="35"/>
      <c r="EI2" s="35"/>
      <c r="EJ2" s="30"/>
      <c r="EK2" s="30"/>
      <c r="EL2" s="30"/>
      <c r="EM2" s="30"/>
      <c r="EN2" s="30"/>
      <c r="EO2" s="30"/>
      <c r="EP2" s="30"/>
      <c r="FF2" s="1"/>
    </row>
    <row r="3" spans="1:183" ht="4.9000000000000004" customHeight="1" thickBot="1" x14ac:dyDescent="0.3">
      <c r="O3" s="176" t="s">
        <v>433</v>
      </c>
      <c r="AS3" s="135"/>
      <c r="AT3" s="135"/>
      <c r="AU3" s="135"/>
      <c r="AV3" s="135"/>
      <c r="AW3" s="135"/>
      <c r="AX3" s="135"/>
      <c r="BU3" s="34"/>
      <c r="BV3" s="34"/>
      <c r="BW3" s="34"/>
      <c r="BX3" s="34"/>
      <c r="BY3" s="34"/>
      <c r="BZ3" s="34"/>
      <c r="CA3" s="34"/>
      <c r="CB3" s="34"/>
      <c r="CL3" s="36"/>
      <c r="DD3"/>
      <c r="DE3" s="37"/>
      <c r="DF3" s="37"/>
      <c r="DG3" s="37"/>
      <c r="DH3" s="35"/>
      <c r="DI3" s="35"/>
      <c r="DJ3" s="35"/>
      <c r="DK3" s="35"/>
      <c r="DL3" s="35"/>
      <c r="DM3" s="35"/>
      <c r="DN3" s="35"/>
      <c r="DO3" s="35"/>
      <c r="DP3" s="35"/>
      <c r="EI3" s="38"/>
      <c r="EJ3" s="38"/>
      <c r="EK3" s="38"/>
      <c r="EL3" s="38"/>
      <c r="EM3" s="38"/>
      <c r="EN3" s="38"/>
      <c r="EP3" s="38"/>
      <c r="ER3" s="34"/>
      <c r="ES3" s="34"/>
      <c r="ET3" s="34"/>
      <c r="FF3" s="1"/>
    </row>
    <row r="4" spans="1:183" x14ac:dyDescent="0.25">
      <c r="A4" s="186" t="s">
        <v>80</v>
      </c>
      <c r="B4" s="40"/>
      <c r="C4" s="41"/>
      <c r="D4" s="138" t="s">
        <v>429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138" t="s">
        <v>419</v>
      </c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6"/>
      <c r="AD4" s="138" t="s">
        <v>399</v>
      </c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6"/>
      <c r="AQ4" s="138" t="s">
        <v>387</v>
      </c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6"/>
      <c r="BD4" s="44" t="s">
        <v>374</v>
      </c>
      <c r="BE4" s="41"/>
      <c r="BF4" s="41"/>
      <c r="BG4" s="41"/>
      <c r="BH4" s="41"/>
      <c r="BI4" s="41"/>
      <c r="BJ4" s="41"/>
      <c r="BK4" s="41"/>
      <c r="BL4" s="43"/>
      <c r="BM4" s="43"/>
      <c r="BN4" s="43"/>
      <c r="BO4" s="41"/>
      <c r="BP4" s="41"/>
      <c r="BQ4" s="44" t="s">
        <v>361</v>
      </c>
      <c r="BR4" s="41"/>
      <c r="BS4" s="41"/>
      <c r="BT4" s="41"/>
      <c r="BU4" s="41"/>
      <c r="BV4" s="41"/>
      <c r="BW4" s="41"/>
      <c r="BX4" s="41"/>
      <c r="BY4" s="43"/>
      <c r="BZ4" s="43"/>
      <c r="CA4" s="43"/>
      <c r="CB4" s="41"/>
      <c r="CC4" s="41"/>
      <c r="CD4" s="44" t="s">
        <v>348</v>
      </c>
      <c r="CE4" s="41"/>
      <c r="CF4" s="41"/>
      <c r="CG4" s="41"/>
      <c r="CH4" s="41"/>
      <c r="CI4" s="41"/>
      <c r="CJ4" s="41"/>
      <c r="CK4" s="41"/>
      <c r="CL4" s="43"/>
      <c r="CM4" s="43"/>
      <c r="CN4" s="43"/>
      <c r="CO4" s="41"/>
      <c r="CP4" s="41"/>
      <c r="CQ4" s="42" t="s">
        <v>309</v>
      </c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5" t="s">
        <v>267</v>
      </c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6"/>
      <c r="DQ4" s="45" t="s">
        <v>226</v>
      </c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5" t="s">
        <v>174</v>
      </c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7" t="s">
        <v>162</v>
      </c>
      <c r="ER4" s="41"/>
      <c r="ES4" s="48"/>
      <c r="ET4" s="41"/>
      <c r="EU4" s="41"/>
      <c r="EV4" s="41"/>
      <c r="EW4" s="41"/>
      <c r="EX4" s="41"/>
      <c r="EY4" s="41"/>
      <c r="EZ4" s="41"/>
      <c r="FA4" s="41"/>
      <c r="FB4" s="41"/>
      <c r="FC4" s="49"/>
      <c r="FD4" s="47" t="s">
        <v>155</v>
      </c>
      <c r="FE4" s="41"/>
      <c r="FF4" s="48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4" t="s">
        <v>79</v>
      </c>
      <c r="FR4" s="50" t="s">
        <v>111</v>
      </c>
      <c r="FS4" s="51" t="s">
        <v>110</v>
      </c>
    </row>
    <row r="5" spans="1:183" ht="15.75" thickBot="1" x14ac:dyDescent="0.3">
      <c r="A5" s="187"/>
      <c r="B5" s="127" t="s">
        <v>81</v>
      </c>
      <c r="C5" s="128" t="s">
        <v>82</v>
      </c>
      <c r="D5" s="58" t="s">
        <v>156</v>
      </c>
      <c r="E5" s="54" t="s">
        <v>90</v>
      </c>
      <c r="F5" s="55" t="s">
        <v>91</v>
      </c>
      <c r="G5" s="54" t="s">
        <v>100</v>
      </c>
      <c r="H5" s="54" t="s">
        <v>101</v>
      </c>
      <c r="I5" s="54" t="s">
        <v>102</v>
      </c>
      <c r="J5" s="54" t="s">
        <v>103</v>
      </c>
      <c r="K5" s="54" t="s">
        <v>104</v>
      </c>
      <c r="L5" s="54" t="s">
        <v>105</v>
      </c>
      <c r="M5" s="54" t="s">
        <v>106</v>
      </c>
      <c r="N5" s="54" t="s">
        <v>142</v>
      </c>
      <c r="O5" s="54" t="s">
        <v>150</v>
      </c>
      <c r="P5" s="54" t="s">
        <v>424</v>
      </c>
      <c r="Q5" s="58" t="s">
        <v>156</v>
      </c>
      <c r="R5" s="54" t="s">
        <v>90</v>
      </c>
      <c r="S5" s="55" t="s">
        <v>91</v>
      </c>
      <c r="T5" s="54" t="s">
        <v>100</v>
      </c>
      <c r="U5" s="54" t="s">
        <v>101</v>
      </c>
      <c r="V5" s="54" t="s">
        <v>102</v>
      </c>
      <c r="W5" s="54" t="s">
        <v>103</v>
      </c>
      <c r="X5" s="54" t="s">
        <v>104</v>
      </c>
      <c r="Y5" s="54" t="s">
        <v>105</v>
      </c>
      <c r="Z5" s="54" t="s">
        <v>106</v>
      </c>
      <c r="AA5" s="54" t="s">
        <v>142</v>
      </c>
      <c r="AB5" s="54" t="s">
        <v>150</v>
      </c>
      <c r="AC5" s="57" t="s">
        <v>424</v>
      </c>
      <c r="AD5" s="58" t="s">
        <v>156</v>
      </c>
      <c r="AE5" s="54" t="s">
        <v>90</v>
      </c>
      <c r="AF5" s="55" t="s">
        <v>91</v>
      </c>
      <c r="AG5" s="54" t="s">
        <v>100</v>
      </c>
      <c r="AH5" s="54" t="s">
        <v>101</v>
      </c>
      <c r="AI5" s="54" t="s">
        <v>102</v>
      </c>
      <c r="AJ5" s="54" t="s">
        <v>103</v>
      </c>
      <c r="AK5" s="54" t="s">
        <v>104</v>
      </c>
      <c r="AL5" s="54" t="s">
        <v>105</v>
      </c>
      <c r="AM5" s="54" t="s">
        <v>106</v>
      </c>
      <c r="AN5" s="54" t="s">
        <v>107</v>
      </c>
      <c r="AO5" s="54" t="s">
        <v>108</v>
      </c>
      <c r="AP5" s="57" t="s">
        <v>109</v>
      </c>
      <c r="AQ5" s="58" t="s">
        <v>156</v>
      </c>
      <c r="AR5" s="54" t="s">
        <v>90</v>
      </c>
      <c r="AS5" s="55" t="s">
        <v>91</v>
      </c>
      <c r="AT5" s="54" t="s">
        <v>100</v>
      </c>
      <c r="AU5" s="54" t="s">
        <v>101</v>
      </c>
      <c r="AV5" s="54" t="s">
        <v>102</v>
      </c>
      <c r="AW5" s="54" t="s">
        <v>103</v>
      </c>
      <c r="AX5" s="54" t="s">
        <v>104</v>
      </c>
      <c r="AY5" s="54" t="s">
        <v>105</v>
      </c>
      <c r="AZ5" s="54" t="s">
        <v>106</v>
      </c>
      <c r="BA5" s="54" t="s">
        <v>107</v>
      </c>
      <c r="BB5" s="54" t="s">
        <v>108</v>
      </c>
      <c r="BC5" s="57" t="s">
        <v>109</v>
      </c>
      <c r="BD5" s="53" t="s">
        <v>156</v>
      </c>
      <c r="BE5" s="54" t="s">
        <v>90</v>
      </c>
      <c r="BF5" s="55" t="s">
        <v>91</v>
      </c>
      <c r="BG5" s="54" t="s">
        <v>100</v>
      </c>
      <c r="BH5" s="54" t="s">
        <v>101</v>
      </c>
      <c r="BI5" s="54" t="s">
        <v>102</v>
      </c>
      <c r="BJ5" s="54" t="s">
        <v>103</v>
      </c>
      <c r="BK5" s="54" t="s">
        <v>104</v>
      </c>
      <c r="BL5" s="54" t="s">
        <v>105</v>
      </c>
      <c r="BM5" s="54" t="s">
        <v>106</v>
      </c>
      <c r="BN5" s="54" t="s">
        <v>107</v>
      </c>
      <c r="BO5" s="54" t="s">
        <v>108</v>
      </c>
      <c r="BP5" s="54" t="s">
        <v>109</v>
      </c>
      <c r="BQ5" s="53" t="s">
        <v>156</v>
      </c>
      <c r="BR5" s="54" t="s">
        <v>90</v>
      </c>
      <c r="BS5" s="55" t="s">
        <v>91</v>
      </c>
      <c r="BT5" s="54" t="s">
        <v>100</v>
      </c>
      <c r="BU5" s="54" t="s">
        <v>101</v>
      </c>
      <c r="BV5" s="54" t="s">
        <v>102</v>
      </c>
      <c r="BW5" s="54" t="s">
        <v>103</v>
      </c>
      <c r="BX5" s="54" t="s">
        <v>104</v>
      </c>
      <c r="BY5" s="54" t="s">
        <v>105</v>
      </c>
      <c r="BZ5" s="54" t="s">
        <v>106</v>
      </c>
      <c r="CA5" s="54" t="s">
        <v>107</v>
      </c>
      <c r="CB5" s="54" t="s">
        <v>108</v>
      </c>
      <c r="CC5" s="54" t="s">
        <v>109</v>
      </c>
      <c r="CD5" s="53" t="s">
        <v>156</v>
      </c>
      <c r="CE5" s="54" t="s">
        <v>90</v>
      </c>
      <c r="CF5" s="55" t="s">
        <v>91</v>
      </c>
      <c r="CG5" s="54" t="s">
        <v>100</v>
      </c>
      <c r="CH5" s="54" t="s">
        <v>101</v>
      </c>
      <c r="CI5" s="54" t="s">
        <v>102</v>
      </c>
      <c r="CJ5" s="54" t="s">
        <v>103</v>
      </c>
      <c r="CK5" s="54" t="s">
        <v>104</v>
      </c>
      <c r="CL5" s="56" t="s">
        <v>105</v>
      </c>
      <c r="CM5" s="56" t="s">
        <v>106</v>
      </c>
      <c r="CN5" s="56" t="s">
        <v>107</v>
      </c>
      <c r="CO5" s="54" t="s">
        <v>108</v>
      </c>
      <c r="CP5" s="57" t="s">
        <v>109</v>
      </c>
      <c r="CQ5" s="58" t="s">
        <v>156</v>
      </c>
      <c r="CR5" s="54" t="s">
        <v>90</v>
      </c>
      <c r="CS5" s="55" t="s">
        <v>91</v>
      </c>
      <c r="CT5" s="54" t="s">
        <v>100</v>
      </c>
      <c r="CU5" s="54" t="s">
        <v>101</v>
      </c>
      <c r="CV5" s="54" t="s">
        <v>102</v>
      </c>
      <c r="CW5" s="54" t="s">
        <v>103</v>
      </c>
      <c r="CX5" s="54" t="s">
        <v>104</v>
      </c>
      <c r="CY5" s="54" t="s">
        <v>105</v>
      </c>
      <c r="CZ5" s="54" t="s">
        <v>106</v>
      </c>
      <c r="DA5" s="54" t="s">
        <v>107</v>
      </c>
      <c r="DB5" s="54" t="s">
        <v>108</v>
      </c>
      <c r="DC5" s="54" t="s">
        <v>109</v>
      </c>
      <c r="DD5" s="58" t="s">
        <v>156</v>
      </c>
      <c r="DE5" s="54" t="s">
        <v>90</v>
      </c>
      <c r="DF5" s="55" t="s">
        <v>91</v>
      </c>
      <c r="DG5" s="54" t="s">
        <v>100</v>
      </c>
      <c r="DH5" s="54" t="s">
        <v>101</v>
      </c>
      <c r="DI5" s="54" t="s">
        <v>102</v>
      </c>
      <c r="DJ5" s="54" t="s">
        <v>103</v>
      </c>
      <c r="DK5" s="54" t="s">
        <v>104</v>
      </c>
      <c r="DL5" s="54" t="s">
        <v>105</v>
      </c>
      <c r="DM5" s="54" t="s">
        <v>106</v>
      </c>
      <c r="DN5" s="54" t="s">
        <v>107</v>
      </c>
      <c r="DO5" s="54" t="s">
        <v>108</v>
      </c>
      <c r="DP5" s="57" t="s">
        <v>109</v>
      </c>
      <c r="DQ5" s="58" t="s">
        <v>156</v>
      </c>
      <c r="DR5" s="54" t="s">
        <v>90</v>
      </c>
      <c r="DS5" s="55" t="s">
        <v>91</v>
      </c>
      <c r="DT5" s="54" t="s">
        <v>100</v>
      </c>
      <c r="DU5" s="54" t="s">
        <v>101</v>
      </c>
      <c r="DV5" s="54" t="s">
        <v>102</v>
      </c>
      <c r="DW5" s="54" t="s">
        <v>103</v>
      </c>
      <c r="DX5" s="54" t="s">
        <v>104</v>
      </c>
      <c r="DY5" s="54" t="s">
        <v>105</v>
      </c>
      <c r="DZ5" s="54" t="s">
        <v>106</v>
      </c>
      <c r="EA5" s="54" t="s">
        <v>142</v>
      </c>
      <c r="EB5" s="54" t="s">
        <v>150</v>
      </c>
      <c r="EC5" s="54" t="s">
        <v>109</v>
      </c>
      <c r="ED5" s="58" t="s">
        <v>156</v>
      </c>
      <c r="EE5" s="54" t="s">
        <v>90</v>
      </c>
      <c r="EF5" s="55" t="s">
        <v>91</v>
      </c>
      <c r="EG5" s="54" t="s">
        <v>100</v>
      </c>
      <c r="EH5" s="54" t="s">
        <v>101</v>
      </c>
      <c r="EI5" s="54" t="s">
        <v>102</v>
      </c>
      <c r="EJ5" s="54" t="s">
        <v>103</v>
      </c>
      <c r="EK5" s="54" t="s">
        <v>104</v>
      </c>
      <c r="EL5" s="54" t="s">
        <v>105</v>
      </c>
      <c r="EM5" s="54" t="s">
        <v>106</v>
      </c>
      <c r="EN5" s="54" t="s">
        <v>142</v>
      </c>
      <c r="EO5" s="54" t="s">
        <v>150</v>
      </c>
      <c r="EP5" s="54" t="s">
        <v>109</v>
      </c>
      <c r="EQ5" s="58" t="s">
        <v>156</v>
      </c>
      <c r="ER5" s="54" t="s">
        <v>90</v>
      </c>
      <c r="ES5" s="55" t="s">
        <v>91</v>
      </c>
      <c r="ET5" s="54" t="s">
        <v>100</v>
      </c>
      <c r="EU5" s="54" t="s">
        <v>101</v>
      </c>
      <c r="EV5" s="54" t="s">
        <v>102</v>
      </c>
      <c r="EW5" s="54" t="s">
        <v>103</v>
      </c>
      <c r="EX5" s="54" t="s">
        <v>104</v>
      </c>
      <c r="EY5" s="54" t="s">
        <v>105</v>
      </c>
      <c r="EZ5" s="54" t="s">
        <v>106</v>
      </c>
      <c r="FA5" s="54" t="s">
        <v>142</v>
      </c>
      <c r="FB5" s="54" t="s">
        <v>150</v>
      </c>
      <c r="FC5" s="59" t="s">
        <v>109</v>
      </c>
      <c r="FD5" s="58" t="s">
        <v>156</v>
      </c>
      <c r="FE5" s="54" t="s">
        <v>90</v>
      </c>
      <c r="FF5" s="55" t="s">
        <v>91</v>
      </c>
      <c r="FG5" s="54" t="s">
        <v>100</v>
      </c>
      <c r="FH5" s="54" t="s">
        <v>101</v>
      </c>
      <c r="FI5" s="54" t="s">
        <v>102</v>
      </c>
      <c r="FJ5" s="54" t="s">
        <v>103</v>
      </c>
      <c r="FK5" s="54" t="s">
        <v>104</v>
      </c>
      <c r="FL5" s="54" t="s">
        <v>105</v>
      </c>
      <c r="FM5" s="54" t="s">
        <v>106</v>
      </c>
      <c r="FN5" s="54" t="s">
        <v>142</v>
      </c>
      <c r="FO5" s="54" t="s">
        <v>150</v>
      </c>
      <c r="FP5" s="54" t="s">
        <v>109</v>
      </c>
      <c r="FQ5" s="53" t="s">
        <v>156</v>
      </c>
      <c r="FR5" s="60" t="s">
        <v>156</v>
      </c>
      <c r="FS5" s="52" t="s">
        <v>102</v>
      </c>
      <c r="FT5" s="52" t="s">
        <v>103</v>
      </c>
      <c r="FU5" s="52" t="s">
        <v>104</v>
      </c>
      <c r="FV5" s="52" t="s">
        <v>105</v>
      </c>
      <c r="FW5" s="52" t="s">
        <v>106</v>
      </c>
      <c r="FX5" s="52" t="s">
        <v>107</v>
      </c>
      <c r="FY5" s="52" t="s">
        <v>108</v>
      </c>
      <c r="FZ5" s="52" t="s">
        <v>109</v>
      </c>
    </row>
    <row r="6" spans="1:183" s="63" customFormat="1" ht="30" customHeight="1" x14ac:dyDescent="0.25">
      <c r="A6" s="61"/>
      <c r="B6" s="169"/>
      <c r="C6" s="121" t="s">
        <v>92</v>
      </c>
      <c r="D6" s="125">
        <f t="shared" ref="D6:AI6" si="0">SUM(D7:D294)</f>
        <v>7376.2849999999989</v>
      </c>
      <c r="E6" s="62">
        <f t="shared" si="0"/>
        <v>5833.7200000000012</v>
      </c>
      <c r="F6" s="184">
        <f t="shared" si="0"/>
        <v>7703.5799999999981</v>
      </c>
      <c r="G6" s="184">
        <f t="shared" si="0"/>
        <v>8290.1899999999987</v>
      </c>
      <c r="H6" s="62">
        <f t="shared" si="0"/>
        <v>7677.6499999999978</v>
      </c>
      <c r="I6" s="62">
        <f t="shared" si="0"/>
        <v>0</v>
      </c>
      <c r="J6" s="62">
        <f t="shared" si="0"/>
        <v>0</v>
      </c>
      <c r="K6" s="62">
        <f t="shared" si="0"/>
        <v>0</v>
      </c>
      <c r="L6" s="62">
        <f t="shared" si="0"/>
        <v>0</v>
      </c>
      <c r="M6" s="62">
        <f t="shared" si="0"/>
        <v>0</v>
      </c>
      <c r="N6" s="62">
        <f t="shared" si="0"/>
        <v>0</v>
      </c>
      <c r="O6" s="62">
        <f t="shared" si="0"/>
        <v>0</v>
      </c>
      <c r="P6" s="177">
        <f t="shared" si="0"/>
        <v>0</v>
      </c>
      <c r="Q6" s="125">
        <f t="shared" si="0"/>
        <v>7773.0319999999992</v>
      </c>
      <c r="R6" s="62">
        <f t="shared" si="0"/>
        <v>5505.9800000000005</v>
      </c>
      <c r="S6" s="62">
        <f t="shared" si="0"/>
        <v>6928.3</v>
      </c>
      <c r="T6" s="62">
        <f t="shared" si="0"/>
        <v>7514.9000000000015</v>
      </c>
      <c r="U6" s="62">
        <f t="shared" si="0"/>
        <v>7329.9600000000019</v>
      </c>
      <c r="V6" s="62">
        <f t="shared" si="0"/>
        <v>7297.48</v>
      </c>
      <c r="W6" s="62">
        <f t="shared" si="0"/>
        <v>7638.7300000000014</v>
      </c>
      <c r="X6" s="62">
        <f t="shared" si="0"/>
        <v>7575.5599999999995</v>
      </c>
      <c r="Y6" s="62">
        <f t="shared" si="0"/>
        <v>7819.7999999999993</v>
      </c>
      <c r="Z6" s="62">
        <f t="shared" si="0"/>
        <v>7854.7699999999986</v>
      </c>
      <c r="AA6" s="62">
        <f t="shared" si="0"/>
        <v>7506.9800000000014</v>
      </c>
      <c r="AB6" s="62">
        <f t="shared" si="0"/>
        <v>2864.2900000000004</v>
      </c>
      <c r="AC6" s="123">
        <f t="shared" si="0"/>
        <v>1893.5700000000002</v>
      </c>
      <c r="AD6" s="125">
        <f t="shared" si="0"/>
        <v>7065.2190000000001</v>
      </c>
      <c r="AE6" s="62">
        <f t="shared" si="0"/>
        <v>4964.12</v>
      </c>
      <c r="AF6" s="62">
        <f t="shared" si="0"/>
        <v>6011.6900000000014</v>
      </c>
      <c r="AG6" s="62">
        <f t="shared" si="0"/>
        <v>6657.5599999999995</v>
      </c>
      <c r="AH6" s="62">
        <f t="shared" si="0"/>
        <v>6584.45</v>
      </c>
      <c r="AI6" s="62">
        <f t="shared" si="0"/>
        <v>6375.0399999999991</v>
      </c>
      <c r="AJ6" s="62">
        <f t="shared" ref="AJ6:BO6" si="1">SUM(AJ7:AJ294)</f>
        <v>6951.920000000001</v>
      </c>
      <c r="AK6" s="62">
        <f t="shared" si="1"/>
        <v>7041.33</v>
      </c>
      <c r="AL6" s="62">
        <f t="shared" si="1"/>
        <v>7416.5400000000018</v>
      </c>
      <c r="AM6" s="62">
        <f t="shared" si="1"/>
        <v>7465.45</v>
      </c>
      <c r="AN6" s="62">
        <f t="shared" si="1"/>
        <v>7115.6900000000005</v>
      </c>
      <c r="AO6" s="62">
        <f t="shared" si="1"/>
        <v>2595.0300000000002</v>
      </c>
      <c r="AP6" s="123">
        <f t="shared" si="1"/>
        <v>1473.3700000000003</v>
      </c>
      <c r="AQ6" s="125">
        <f t="shared" si="1"/>
        <v>5966.3009999999977</v>
      </c>
      <c r="AR6" s="62">
        <f t="shared" si="1"/>
        <v>4118.1499999999996</v>
      </c>
      <c r="AS6" s="62">
        <f t="shared" si="1"/>
        <v>4989.4899999999989</v>
      </c>
      <c r="AT6" s="62">
        <f t="shared" si="1"/>
        <v>5557.53</v>
      </c>
      <c r="AU6" s="62">
        <f t="shared" si="1"/>
        <v>5470.2099999999982</v>
      </c>
      <c r="AV6" s="62">
        <f t="shared" si="1"/>
        <v>5324.4299999999994</v>
      </c>
      <c r="AW6" s="62">
        <f t="shared" si="1"/>
        <v>5841.52</v>
      </c>
      <c r="AX6" s="62">
        <f t="shared" si="1"/>
        <v>5965.85</v>
      </c>
      <c r="AY6" s="62">
        <f t="shared" si="1"/>
        <v>6334.7400000000016</v>
      </c>
      <c r="AZ6" s="62">
        <f t="shared" si="1"/>
        <v>6271.3299999999981</v>
      </c>
      <c r="BA6" s="62">
        <f t="shared" si="1"/>
        <v>6177.2000000000007</v>
      </c>
      <c r="BB6" s="62">
        <f t="shared" si="1"/>
        <v>2237.5900000000006</v>
      </c>
      <c r="BC6" s="123">
        <f t="shared" si="1"/>
        <v>1374.9699999999998</v>
      </c>
      <c r="BD6" s="122">
        <f t="shared" si="1"/>
        <v>4887.2519999999986</v>
      </c>
      <c r="BE6" s="62">
        <f t="shared" si="1"/>
        <v>3676.21</v>
      </c>
      <c r="BF6" s="62">
        <f t="shared" si="1"/>
        <v>4265.9400000000005</v>
      </c>
      <c r="BG6" s="62">
        <f t="shared" si="1"/>
        <v>4576.1099999999997</v>
      </c>
      <c r="BH6" s="62">
        <f t="shared" si="1"/>
        <v>4574.1299999999992</v>
      </c>
      <c r="BI6" s="62">
        <f t="shared" si="1"/>
        <v>4315.7199999999984</v>
      </c>
      <c r="BJ6" s="62">
        <f t="shared" si="1"/>
        <v>4516.03</v>
      </c>
      <c r="BK6" s="62">
        <f t="shared" si="1"/>
        <v>4748.41</v>
      </c>
      <c r="BL6" s="62">
        <f t="shared" si="1"/>
        <v>5256.66</v>
      </c>
      <c r="BM6" s="62">
        <f t="shared" si="1"/>
        <v>5159.4799999999996</v>
      </c>
      <c r="BN6" s="62">
        <f t="shared" si="1"/>
        <v>5096.53</v>
      </c>
      <c r="BO6" s="62">
        <f t="shared" si="1"/>
        <v>1683.78</v>
      </c>
      <c r="BP6" s="123">
        <f t="shared" ref="BP6:CP6" si="2">SUM(BP7:BP294)</f>
        <v>1003.5200000000001</v>
      </c>
      <c r="BQ6" s="123">
        <f t="shared" si="2"/>
        <v>5119.5200000000004</v>
      </c>
      <c r="BR6" s="62">
        <f t="shared" si="2"/>
        <v>4676.4399999999996</v>
      </c>
      <c r="BS6" s="62">
        <f t="shared" si="2"/>
        <v>4591.95</v>
      </c>
      <c r="BT6" s="62">
        <f t="shared" si="2"/>
        <v>4740.04</v>
      </c>
      <c r="BU6" s="62">
        <f t="shared" si="2"/>
        <v>4698.3199999999988</v>
      </c>
      <c r="BV6" s="62">
        <f t="shared" si="2"/>
        <v>4872.7000000000016</v>
      </c>
      <c r="BW6" s="62">
        <f t="shared" si="2"/>
        <v>4944.2200000000012</v>
      </c>
      <c r="BX6" s="62">
        <f t="shared" si="2"/>
        <v>4961.6799999999994</v>
      </c>
      <c r="BY6" s="62">
        <f t="shared" si="2"/>
        <v>5231.4999999999991</v>
      </c>
      <c r="BZ6" s="62">
        <f t="shared" si="2"/>
        <v>5076.6799999999994</v>
      </c>
      <c r="CA6" s="62">
        <f t="shared" si="2"/>
        <v>4882.9899999999989</v>
      </c>
      <c r="CB6" s="62">
        <f t="shared" si="2"/>
        <v>1547.6699999999996</v>
      </c>
      <c r="CC6" s="62">
        <f t="shared" si="2"/>
        <v>971.01000000000022</v>
      </c>
      <c r="CD6" s="122">
        <f t="shared" si="2"/>
        <v>6054.5139999999983</v>
      </c>
      <c r="CE6" s="62">
        <f t="shared" si="2"/>
        <v>4432.4399999999996</v>
      </c>
      <c r="CF6" s="62">
        <f t="shared" si="2"/>
        <v>5561.4999999999991</v>
      </c>
      <c r="CG6" s="62">
        <f t="shared" si="2"/>
        <v>5923.8799999999992</v>
      </c>
      <c r="CH6" s="62">
        <f t="shared" si="2"/>
        <v>5688.03</v>
      </c>
      <c r="CI6" s="62">
        <f t="shared" si="2"/>
        <v>5587.35</v>
      </c>
      <c r="CJ6" s="62">
        <f t="shared" si="2"/>
        <v>5881.0700000000006</v>
      </c>
      <c r="CK6" s="62">
        <f t="shared" si="2"/>
        <v>5965.7900000000009</v>
      </c>
      <c r="CL6" s="124">
        <f t="shared" si="2"/>
        <v>6364.060000000004</v>
      </c>
      <c r="CM6" s="124">
        <f t="shared" si="2"/>
        <v>6502.3900000000021</v>
      </c>
      <c r="CN6" s="124">
        <f t="shared" si="2"/>
        <v>6199.9800000000023</v>
      </c>
      <c r="CO6" s="62">
        <f t="shared" si="2"/>
        <v>1576.1699999999994</v>
      </c>
      <c r="CP6" s="62">
        <f t="shared" si="2"/>
        <v>862.48</v>
      </c>
      <c r="CQ6" s="125">
        <v>5527.8840000000027</v>
      </c>
      <c r="CR6" s="62">
        <f t="shared" ref="CR6:DP6" si="3">SUM(CR7:CR294)</f>
        <v>3816.7599999999998</v>
      </c>
      <c r="CS6" s="62">
        <f t="shared" si="3"/>
        <v>4956.380000000001</v>
      </c>
      <c r="CT6" s="62">
        <f t="shared" si="3"/>
        <v>5342.0099999999993</v>
      </c>
      <c r="CU6" s="62">
        <f t="shared" si="3"/>
        <v>5197.28</v>
      </c>
      <c r="CV6" s="62">
        <f t="shared" si="3"/>
        <v>5078.72</v>
      </c>
      <c r="CW6" s="62">
        <f t="shared" si="3"/>
        <v>5554.7200000000012</v>
      </c>
      <c r="CX6" s="62">
        <f t="shared" si="3"/>
        <v>5315.29</v>
      </c>
      <c r="CY6" s="62">
        <f t="shared" si="3"/>
        <v>5713.9200000000037</v>
      </c>
      <c r="CZ6" s="62">
        <f t="shared" si="3"/>
        <v>5824.8500000000022</v>
      </c>
      <c r="DA6" s="62">
        <f t="shared" si="3"/>
        <v>5560.49</v>
      </c>
      <c r="DB6" s="62">
        <f t="shared" si="3"/>
        <v>1812.82</v>
      </c>
      <c r="DC6" s="62">
        <f t="shared" si="3"/>
        <v>1105.5999999999999</v>
      </c>
      <c r="DD6" s="125">
        <f t="shared" si="3"/>
        <v>4784.8239999999996</v>
      </c>
      <c r="DE6" s="62">
        <f t="shared" si="3"/>
        <v>3501.54</v>
      </c>
      <c r="DF6" s="62">
        <f t="shared" si="3"/>
        <v>4117.6000000000004</v>
      </c>
      <c r="DG6" s="62">
        <f t="shared" si="3"/>
        <v>4545.33</v>
      </c>
      <c r="DH6" s="62">
        <f t="shared" si="3"/>
        <v>4390.5400000000009</v>
      </c>
      <c r="DI6" s="62">
        <f t="shared" si="3"/>
        <v>4121.67</v>
      </c>
      <c r="DJ6" s="62">
        <f t="shared" si="3"/>
        <v>4761.74</v>
      </c>
      <c r="DK6" s="62">
        <f t="shared" si="3"/>
        <v>4718.9199999999992</v>
      </c>
      <c r="DL6" s="62">
        <f t="shared" si="3"/>
        <v>4987.0300000000007</v>
      </c>
      <c r="DM6" s="62">
        <f t="shared" si="3"/>
        <v>4861.4100000000008</v>
      </c>
      <c r="DN6" s="62">
        <f t="shared" si="3"/>
        <v>4727.92</v>
      </c>
      <c r="DO6" s="62">
        <f t="shared" si="3"/>
        <v>1899</v>
      </c>
      <c r="DP6" s="123">
        <f t="shared" si="3"/>
        <v>1215.5400000000002</v>
      </c>
      <c r="DQ6" s="125">
        <v>4117.1290000000017</v>
      </c>
      <c r="DR6" s="62">
        <v>2976.6800000000003</v>
      </c>
      <c r="DS6" s="62">
        <v>3785.5299999999997</v>
      </c>
      <c r="DT6" s="62">
        <v>3971.7399999999993</v>
      </c>
      <c r="DU6" s="62">
        <v>3930.3200000000006</v>
      </c>
      <c r="DV6" s="62">
        <v>3655.0999999999995</v>
      </c>
      <c r="DW6" s="62">
        <v>4067.8100000000004</v>
      </c>
      <c r="DX6" s="62">
        <v>4128.67</v>
      </c>
      <c r="DY6" s="62">
        <v>4350.5600000000004</v>
      </c>
      <c r="DZ6" s="62">
        <v>4196.3000000000011</v>
      </c>
      <c r="EA6" s="62">
        <v>3981.7800000000007</v>
      </c>
      <c r="EB6" s="62">
        <v>1421.83</v>
      </c>
      <c r="EC6" s="62">
        <v>727.97</v>
      </c>
      <c r="ED6" s="125">
        <f t="shared" ref="ED6:ER6" si="4">SUM(ED7:ED294)</f>
        <v>3561.4769999999999</v>
      </c>
      <c r="EE6" s="62">
        <f t="shared" si="4"/>
        <v>2203.7600000000002</v>
      </c>
      <c r="EF6" s="62">
        <f t="shared" si="4"/>
        <v>3176.4199999999996</v>
      </c>
      <c r="EG6" s="62">
        <f t="shared" si="4"/>
        <v>3400.34</v>
      </c>
      <c r="EH6" s="62">
        <f t="shared" si="4"/>
        <v>2996.9199999999987</v>
      </c>
      <c r="EI6" s="62">
        <f t="shared" si="4"/>
        <v>3357.9500000000003</v>
      </c>
      <c r="EJ6" s="62">
        <f t="shared" si="4"/>
        <v>3632.2400000000002</v>
      </c>
      <c r="EK6" s="62">
        <f t="shared" si="4"/>
        <v>3702.4100000000003</v>
      </c>
      <c r="EL6" s="62">
        <f t="shared" si="4"/>
        <v>3997.22</v>
      </c>
      <c r="EM6" s="62">
        <f t="shared" si="4"/>
        <v>3795.6499999999996</v>
      </c>
      <c r="EN6" s="62">
        <f t="shared" si="4"/>
        <v>3599.4700000000003</v>
      </c>
      <c r="EO6" s="62">
        <f t="shared" si="4"/>
        <v>1131.54</v>
      </c>
      <c r="EP6" s="62">
        <f t="shared" si="4"/>
        <v>620.85</v>
      </c>
      <c r="EQ6" s="125">
        <f t="shared" si="4"/>
        <v>2904.9520000000002</v>
      </c>
      <c r="ER6" s="62">
        <f t="shared" si="4"/>
        <v>2107.2399999999998</v>
      </c>
      <c r="ES6" s="126">
        <f>SUM(ES7:ES289)</f>
        <v>2466.96</v>
      </c>
      <c r="ET6" s="62">
        <f>SUM(ET7:ET289)</f>
        <v>2702.3999999999996</v>
      </c>
      <c r="EU6" s="62">
        <f>SUM(EU7:EU294)</f>
        <v>2655.3099999999995</v>
      </c>
      <c r="EV6" s="62">
        <f>SUM(EV7:EV294)</f>
        <v>2733.3499999999995</v>
      </c>
      <c r="EW6" s="62">
        <f>SUM(EW7:EW294)</f>
        <v>2837.7599999999993</v>
      </c>
      <c r="EX6" s="62">
        <f>SUM(EX7:EX294)</f>
        <v>2844.48</v>
      </c>
      <c r="EY6" s="62">
        <f>SUM(EY7:EY294)</f>
        <v>3133.6</v>
      </c>
      <c r="EZ6" s="62">
        <f>SUM(EZ7:EZ301)</f>
        <v>3040.8</v>
      </c>
      <c r="FA6" s="62">
        <f>SUM(FA7:FA301)</f>
        <v>2869.6000000000004</v>
      </c>
      <c r="FB6" s="62">
        <f>SUM(FB7:FB301)</f>
        <v>1036.25</v>
      </c>
      <c r="FC6" s="62">
        <f>SUM(FC7:FC301)</f>
        <v>621.7700000000001</v>
      </c>
      <c r="FD6" s="125">
        <f>SUM(FD7:FD294)</f>
        <v>2058.3209999999999</v>
      </c>
      <c r="FE6" s="62">
        <f>SUM(FE7:FE294)</f>
        <v>1109.53</v>
      </c>
      <c r="FF6" s="126">
        <f>SUM(FF7:FF289)</f>
        <v>1423.38</v>
      </c>
      <c r="FG6" s="62">
        <f>SUM(FG7:FG289)</f>
        <v>1925.5700000000002</v>
      </c>
      <c r="FH6" s="62">
        <f>SUM(FH7:FH294)</f>
        <v>1921.58</v>
      </c>
      <c r="FI6" s="62">
        <f>SUM(FI7:FI294)</f>
        <v>1890.13</v>
      </c>
      <c r="FJ6" s="62">
        <f>SUM(FJ7:FJ294)</f>
        <v>2043.3700000000003</v>
      </c>
      <c r="FK6" s="62">
        <f>SUM(FK7:FK294)</f>
        <v>2072.8199999999997</v>
      </c>
      <c r="FL6" s="62">
        <f>SUM(FL7:FL294)</f>
        <v>2238.17</v>
      </c>
      <c r="FM6" s="62">
        <f>SUM(FM7:FM301)</f>
        <v>2286.92</v>
      </c>
      <c r="FN6" s="62">
        <f>SUM(FN7:FN301)</f>
        <v>2138.5699999999997</v>
      </c>
      <c r="FO6" s="62">
        <f>SUM(FO7:FO301)</f>
        <v>863.3599999999999</v>
      </c>
      <c r="FP6" s="62">
        <f>SUM(FP7:FP301)</f>
        <v>669.81</v>
      </c>
      <c r="FQ6" s="122">
        <f t="shared" ref="FQ6:FZ6" si="5">SUM(FQ7:FQ289)</f>
        <v>747.18900000000019</v>
      </c>
      <c r="FR6" s="122">
        <f t="shared" si="5"/>
        <v>118.69300000000001</v>
      </c>
      <c r="FS6" s="62">
        <f t="shared" si="5"/>
        <v>147.86000000000001</v>
      </c>
      <c r="FT6" s="62">
        <f t="shared" si="5"/>
        <v>164.06</v>
      </c>
      <c r="FU6" s="62">
        <f t="shared" si="5"/>
        <v>149.51999999999998</v>
      </c>
      <c r="FV6" s="62">
        <f t="shared" si="5"/>
        <v>164.6</v>
      </c>
      <c r="FW6" s="62">
        <f t="shared" si="5"/>
        <v>163.19</v>
      </c>
      <c r="FX6" s="62">
        <f t="shared" si="5"/>
        <v>214.69</v>
      </c>
      <c r="FY6" s="62">
        <f t="shared" si="5"/>
        <v>82.5</v>
      </c>
      <c r="FZ6" s="62">
        <f t="shared" si="5"/>
        <v>100.51</v>
      </c>
    </row>
    <row r="7" spans="1:183" x14ac:dyDescent="0.25">
      <c r="A7" s="12" t="s">
        <v>159</v>
      </c>
      <c r="B7" s="64" t="s">
        <v>3</v>
      </c>
      <c r="C7" s="4" t="s">
        <v>4</v>
      </c>
      <c r="D7" s="141">
        <f t="shared" ref="D7:D38" si="6">SUM(E7:P7)/$E$2</f>
        <v>82.527499999999989</v>
      </c>
      <c r="E7" s="137">
        <v>75</v>
      </c>
      <c r="F7" s="137">
        <v>83.83</v>
      </c>
      <c r="G7" s="137">
        <v>83.83</v>
      </c>
      <c r="H7" s="137">
        <v>87.45</v>
      </c>
      <c r="I7" s="4"/>
      <c r="J7" s="4"/>
      <c r="K7" s="4"/>
      <c r="L7" s="4"/>
      <c r="M7" s="4"/>
      <c r="N7" s="4"/>
      <c r="O7" s="4"/>
      <c r="P7" s="178"/>
      <c r="Q7" s="158">
        <f>SUM(R7:AC7)/10</f>
        <v>75.400000000000006</v>
      </c>
      <c r="R7" s="141">
        <v>40</v>
      </c>
      <c r="S7" s="141">
        <v>41</v>
      </c>
      <c r="T7" s="141">
        <v>53</v>
      </c>
      <c r="U7" s="141">
        <v>60</v>
      </c>
      <c r="V7" s="141">
        <v>60</v>
      </c>
      <c r="W7" s="141">
        <v>73</v>
      </c>
      <c r="X7" s="141">
        <v>77</v>
      </c>
      <c r="Y7" s="141">
        <v>75</v>
      </c>
      <c r="Z7" s="141">
        <v>78</v>
      </c>
      <c r="AA7" s="141">
        <v>70</v>
      </c>
      <c r="AB7" s="141">
        <v>64</v>
      </c>
      <c r="AC7" s="154">
        <v>63</v>
      </c>
      <c r="AD7" s="158">
        <v>53.765999999999998</v>
      </c>
      <c r="AE7" s="141">
        <v>44</v>
      </c>
      <c r="AF7" s="141">
        <v>49.66</v>
      </c>
      <c r="AG7" s="141">
        <v>48</v>
      </c>
      <c r="AH7" s="141">
        <v>40</v>
      </c>
      <c r="AI7" s="141">
        <v>42</v>
      </c>
      <c r="AJ7" s="141">
        <v>45</v>
      </c>
      <c r="AK7" s="141">
        <v>49</v>
      </c>
      <c r="AL7" s="141">
        <v>48</v>
      </c>
      <c r="AM7" s="141">
        <v>41</v>
      </c>
      <c r="AN7" s="141">
        <v>41</v>
      </c>
      <c r="AO7" s="141">
        <v>45</v>
      </c>
      <c r="AP7" s="141">
        <v>45</v>
      </c>
      <c r="AQ7" s="9">
        <f>SUM(AR7:BC7)/10</f>
        <v>59.9</v>
      </c>
      <c r="AR7" s="3">
        <v>39</v>
      </c>
      <c r="AS7" s="3">
        <v>43</v>
      </c>
      <c r="AT7" s="3">
        <v>49</v>
      </c>
      <c r="AU7" s="3">
        <v>47</v>
      </c>
      <c r="AV7" s="3">
        <v>47</v>
      </c>
      <c r="AW7" s="3">
        <v>52</v>
      </c>
      <c r="AX7" s="3">
        <v>58</v>
      </c>
      <c r="AY7" s="3">
        <v>64</v>
      </c>
      <c r="AZ7" s="3">
        <v>63</v>
      </c>
      <c r="BA7" s="3">
        <v>57</v>
      </c>
      <c r="BB7" s="3">
        <v>40</v>
      </c>
      <c r="BC7" s="3">
        <v>40</v>
      </c>
      <c r="BD7" s="116">
        <v>23.4</v>
      </c>
      <c r="BE7" s="14">
        <v>0</v>
      </c>
      <c r="BF7" s="14">
        <v>0</v>
      </c>
      <c r="BG7" s="14">
        <v>11</v>
      </c>
      <c r="BH7" s="14">
        <v>20</v>
      </c>
      <c r="BI7" s="14">
        <v>22</v>
      </c>
      <c r="BJ7" s="14">
        <v>28</v>
      </c>
      <c r="BK7" s="14">
        <v>36</v>
      </c>
      <c r="BL7" s="14">
        <v>46</v>
      </c>
      <c r="BM7" s="14">
        <v>39</v>
      </c>
      <c r="BN7" s="14">
        <v>32</v>
      </c>
      <c r="BO7" s="14">
        <v>0</v>
      </c>
      <c r="BP7" s="19">
        <v>0</v>
      </c>
      <c r="BQ7" s="70">
        <v>25.635000000000002</v>
      </c>
      <c r="BR7" s="14">
        <v>33</v>
      </c>
      <c r="BS7" s="14">
        <v>21</v>
      </c>
      <c r="BT7" s="14">
        <v>30</v>
      </c>
      <c r="BU7" s="14">
        <v>17</v>
      </c>
      <c r="BV7" s="14">
        <v>24.87</v>
      </c>
      <c r="BW7" s="14">
        <v>22.87</v>
      </c>
      <c r="BX7" s="14">
        <v>27.87</v>
      </c>
      <c r="BY7" s="14">
        <v>30</v>
      </c>
      <c r="BZ7" s="14">
        <v>25.87</v>
      </c>
      <c r="CA7" s="14">
        <v>23.87</v>
      </c>
      <c r="CB7" s="14">
        <v>0</v>
      </c>
      <c r="CC7" s="14">
        <v>0</v>
      </c>
      <c r="CD7" s="17">
        <v>22.137999999999998</v>
      </c>
      <c r="CE7" s="14">
        <v>12</v>
      </c>
      <c r="CF7" s="14">
        <v>18</v>
      </c>
      <c r="CG7" s="14">
        <v>23.7</v>
      </c>
      <c r="CH7" s="14">
        <v>16</v>
      </c>
      <c r="CI7" s="14">
        <v>24</v>
      </c>
      <c r="CJ7" s="14">
        <v>29</v>
      </c>
      <c r="CK7" s="14">
        <v>30</v>
      </c>
      <c r="CL7" s="71">
        <v>25.95</v>
      </c>
      <c r="CM7" s="71">
        <v>22.13</v>
      </c>
      <c r="CN7" s="71">
        <v>20.6</v>
      </c>
      <c r="CO7" s="14">
        <v>0</v>
      </c>
      <c r="CP7" s="14">
        <v>0</v>
      </c>
      <c r="CQ7" s="8">
        <v>30.8</v>
      </c>
      <c r="CR7" s="14">
        <v>14</v>
      </c>
      <c r="CS7" s="14">
        <v>22</v>
      </c>
      <c r="CT7" s="14">
        <v>27</v>
      </c>
      <c r="CU7" s="14">
        <v>35</v>
      </c>
      <c r="CV7" s="14">
        <v>29</v>
      </c>
      <c r="CW7" s="14">
        <v>33</v>
      </c>
      <c r="CX7" s="14">
        <v>38</v>
      </c>
      <c r="CY7" s="14">
        <v>34</v>
      </c>
      <c r="CZ7" s="14">
        <v>29</v>
      </c>
      <c r="DA7" s="14">
        <v>27</v>
      </c>
      <c r="DB7" s="14">
        <v>17</v>
      </c>
      <c r="DC7" s="14">
        <v>3</v>
      </c>
      <c r="DD7" s="8">
        <v>31.7</v>
      </c>
      <c r="DE7" s="14">
        <v>22</v>
      </c>
      <c r="DF7" s="14">
        <v>25</v>
      </c>
      <c r="DG7" s="14">
        <v>30</v>
      </c>
      <c r="DH7" s="14">
        <v>27</v>
      </c>
      <c r="DI7" s="14">
        <v>30</v>
      </c>
      <c r="DJ7" s="14">
        <v>35</v>
      </c>
      <c r="DK7" s="14">
        <v>33</v>
      </c>
      <c r="DL7" s="14">
        <v>35</v>
      </c>
      <c r="DM7" s="14">
        <v>28</v>
      </c>
      <c r="DN7" s="14">
        <v>25</v>
      </c>
      <c r="DO7" s="14">
        <v>19</v>
      </c>
      <c r="DP7" s="19">
        <v>8</v>
      </c>
      <c r="DQ7" s="8">
        <v>33.339999999999996</v>
      </c>
      <c r="DR7" s="14">
        <v>17</v>
      </c>
      <c r="DS7" s="14">
        <v>24</v>
      </c>
      <c r="DT7" s="14">
        <v>25</v>
      </c>
      <c r="DU7" s="14">
        <v>24</v>
      </c>
      <c r="DV7" s="14">
        <v>25</v>
      </c>
      <c r="DW7" s="14">
        <v>36.6</v>
      </c>
      <c r="DX7" s="14">
        <v>37.6</v>
      </c>
      <c r="DY7" s="14">
        <v>38.6</v>
      </c>
      <c r="DZ7" s="14">
        <v>31</v>
      </c>
      <c r="EA7" s="14">
        <v>40.6</v>
      </c>
      <c r="EB7" s="14">
        <v>25</v>
      </c>
      <c r="EC7" s="14">
        <v>9</v>
      </c>
      <c r="ED7" s="8">
        <f>+IFERROR((SUM(EE7:EP7)/10),0)</f>
        <v>35.980000000000004</v>
      </c>
      <c r="EE7" s="14">
        <v>27</v>
      </c>
      <c r="EF7" s="14">
        <v>31.6</v>
      </c>
      <c r="EG7" s="14">
        <v>31.6</v>
      </c>
      <c r="EH7" s="14">
        <v>32.6</v>
      </c>
      <c r="EI7" s="14">
        <v>36.6</v>
      </c>
      <c r="EJ7" s="14">
        <v>43.6</v>
      </c>
      <c r="EK7" s="14">
        <v>43.6</v>
      </c>
      <c r="EL7" s="14">
        <v>32.6</v>
      </c>
      <c r="EM7" s="14">
        <v>26.6</v>
      </c>
      <c r="EN7" s="14">
        <v>25</v>
      </c>
      <c r="EO7" s="14">
        <v>21</v>
      </c>
      <c r="EP7" s="14">
        <v>8</v>
      </c>
      <c r="EQ7" s="8">
        <f>+IFERROR((SUM(ER7:FC7)/10),0)</f>
        <v>33.379999999999995</v>
      </c>
      <c r="ER7" s="14">
        <v>18.2</v>
      </c>
      <c r="ES7" s="14">
        <v>31.2</v>
      </c>
      <c r="ET7" s="14">
        <v>31.2</v>
      </c>
      <c r="EU7" s="14">
        <v>29.6</v>
      </c>
      <c r="EV7" s="14">
        <v>34.6</v>
      </c>
      <c r="EW7" s="14">
        <v>35.799999999999997</v>
      </c>
      <c r="EX7" s="14">
        <v>34.6</v>
      </c>
      <c r="EY7" s="14">
        <v>28.6</v>
      </c>
      <c r="EZ7" s="14">
        <v>29</v>
      </c>
      <c r="FA7" s="14">
        <v>24</v>
      </c>
      <c r="FB7" s="14">
        <v>26</v>
      </c>
      <c r="FC7" s="14">
        <v>11</v>
      </c>
      <c r="FD7" s="67">
        <f>SUM(FE7:FP7)/10</f>
        <v>32.119999999999997</v>
      </c>
      <c r="FE7" s="14">
        <v>23</v>
      </c>
      <c r="FF7" s="14">
        <v>29</v>
      </c>
      <c r="FG7" s="14">
        <v>27</v>
      </c>
      <c r="FH7" s="14">
        <v>33</v>
      </c>
      <c r="FI7" s="14">
        <v>34</v>
      </c>
      <c r="FJ7" s="14">
        <v>27.6</v>
      </c>
      <c r="FK7" s="14">
        <v>29.6</v>
      </c>
      <c r="FL7" s="14">
        <v>30.2</v>
      </c>
      <c r="FM7" s="14">
        <v>28.2</v>
      </c>
      <c r="FN7" s="14">
        <v>27.2</v>
      </c>
      <c r="FO7" s="14">
        <v>19.600000000000001</v>
      </c>
      <c r="FP7" s="14">
        <v>12.8</v>
      </c>
      <c r="FQ7" s="17">
        <v>28.9</v>
      </c>
      <c r="FR7" s="108"/>
      <c r="GA7" s="34"/>
    </row>
    <row r="8" spans="1:183" x14ac:dyDescent="0.25">
      <c r="A8" s="6" t="s">
        <v>159</v>
      </c>
      <c r="B8" s="68" t="s">
        <v>5</v>
      </c>
      <c r="C8" s="1" t="s">
        <v>6</v>
      </c>
      <c r="D8" s="141">
        <f t="shared" si="6"/>
        <v>1.75</v>
      </c>
      <c r="E8" s="141">
        <v>1</v>
      </c>
      <c r="F8" s="141">
        <v>2</v>
      </c>
      <c r="G8" s="141">
        <v>2</v>
      </c>
      <c r="H8" s="141">
        <v>2</v>
      </c>
      <c r="P8" s="77"/>
      <c r="Q8" s="159">
        <f t="shared" ref="Q8:Q11" si="7">SUM(R8:AC8)/10</f>
        <v>1.8</v>
      </c>
      <c r="R8" s="141">
        <v>1</v>
      </c>
      <c r="S8" s="141">
        <v>2</v>
      </c>
      <c r="T8" s="141">
        <v>2</v>
      </c>
      <c r="U8" s="141">
        <v>2</v>
      </c>
      <c r="V8" s="141">
        <v>2</v>
      </c>
      <c r="W8" s="141">
        <v>3</v>
      </c>
      <c r="X8" s="141">
        <v>2</v>
      </c>
      <c r="Y8" s="141">
        <v>2</v>
      </c>
      <c r="Z8" s="141">
        <v>1</v>
      </c>
      <c r="AA8" s="141">
        <v>1</v>
      </c>
      <c r="AB8" s="141">
        <v>0</v>
      </c>
      <c r="AC8" s="154">
        <v>0</v>
      </c>
      <c r="AD8" s="159">
        <v>1.5</v>
      </c>
      <c r="AE8" s="141">
        <v>2</v>
      </c>
      <c r="AF8" s="141">
        <v>2</v>
      </c>
      <c r="AG8" s="141">
        <v>2</v>
      </c>
      <c r="AH8" s="141">
        <v>2</v>
      </c>
      <c r="AI8" s="141">
        <v>2</v>
      </c>
      <c r="AJ8" s="141">
        <v>1</v>
      </c>
      <c r="AK8" s="141">
        <v>1</v>
      </c>
      <c r="AL8" s="141">
        <v>1</v>
      </c>
      <c r="AM8" s="141">
        <v>1</v>
      </c>
      <c r="AN8" s="141">
        <v>1</v>
      </c>
      <c r="AO8" s="141">
        <v>0</v>
      </c>
      <c r="AP8" s="141">
        <v>0</v>
      </c>
      <c r="AQ8" s="9">
        <f t="shared" ref="AQ8:AQ21" si="8">SUM(AR8:BC8)/10</f>
        <v>3.4</v>
      </c>
      <c r="AR8" s="3">
        <v>2</v>
      </c>
      <c r="AS8" s="3">
        <v>3</v>
      </c>
      <c r="AT8" s="3">
        <v>3</v>
      </c>
      <c r="AU8" s="3">
        <v>3</v>
      </c>
      <c r="AV8" s="3">
        <v>3</v>
      </c>
      <c r="AW8" s="3">
        <v>3</v>
      </c>
      <c r="AX8" s="3">
        <v>5</v>
      </c>
      <c r="AY8" s="3">
        <v>6</v>
      </c>
      <c r="AZ8" s="3">
        <v>3</v>
      </c>
      <c r="BA8" s="3">
        <v>2</v>
      </c>
      <c r="BB8" s="3">
        <v>1</v>
      </c>
      <c r="BC8" s="3">
        <v>0</v>
      </c>
      <c r="BD8" s="117">
        <v>1.3</v>
      </c>
      <c r="BE8" s="3">
        <v>0</v>
      </c>
      <c r="BF8" s="3">
        <v>0</v>
      </c>
      <c r="BG8" s="3">
        <v>0</v>
      </c>
      <c r="BH8" s="3">
        <v>0</v>
      </c>
      <c r="BI8" s="3">
        <v>1</v>
      </c>
      <c r="BJ8" s="3">
        <v>1</v>
      </c>
      <c r="BK8" s="3">
        <v>1</v>
      </c>
      <c r="BL8" s="3">
        <v>3</v>
      </c>
      <c r="BM8" s="3">
        <v>3</v>
      </c>
      <c r="BN8" s="3">
        <v>3</v>
      </c>
      <c r="BO8" s="3">
        <v>0</v>
      </c>
      <c r="BP8" s="20">
        <v>1</v>
      </c>
      <c r="BQ8" s="65">
        <v>0.5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1</v>
      </c>
      <c r="BX8" s="3">
        <v>1</v>
      </c>
      <c r="BY8" s="3">
        <v>0</v>
      </c>
      <c r="BZ8" s="3">
        <v>1</v>
      </c>
      <c r="CA8" s="3">
        <v>0</v>
      </c>
      <c r="CB8" s="3">
        <v>2</v>
      </c>
      <c r="CC8" s="3">
        <v>0</v>
      </c>
      <c r="CD8" s="16">
        <v>2.6819999999999999</v>
      </c>
      <c r="CE8" s="3">
        <v>1</v>
      </c>
      <c r="CF8" s="3">
        <v>5</v>
      </c>
      <c r="CG8" s="3">
        <v>3</v>
      </c>
      <c r="CH8" s="3">
        <v>1</v>
      </c>
      <c r="CI8" s="3">
        <v>2</v>
      </c>
      <c r="CJ8" s="3">
        <v>2</v>
      </c>
      <c r="CK8" s="3">
        <v>3</v>
      </c>
      <c r="CL8" s="66">
        <v>2</v>
      </c>
      <c r="CM8" s="66">
        <v>4</v>
      </c>
      <c r="CN8" s="66">
        <v>3.82</v>
      </c>
      <c r="CO8" s="3">
        <v>0</v>
      </c>
      <c r="CP8" s="3">
        <v>0</v>
      </c>
      <c r="CQ8" s="9">
        <v>1.2</v>
      </c>
      <c r="CR8" s="3">
        <v>2</v>
      </c>
      <c r="CS8" s="3">
        <v>0</v>
      </c>
      <c r="CT8" s="3">
        <v>3</v>
      </c>
      <c r="CU8" s="3">
        <v>1</v>
      </c>
      <c r="CV8" s="3">
        <v>1</v>
      </c>
      <c r="CW8" s="3">
        <v>1</v>
      </c>
      <c r="CX8" s="3">
        <v>1</v>
      </c>
      <c r="CY8" s="3">
        <v>1</v>
      </c>
      <c r="CZ8" s="3">
        <v>2</v>
      </c>
      <c r="DA8" s="3">
        <v>0</v>
      </c>
      <c r="DB8" s="3">
        <v>0</v>
      </c>
      <c r="DC8" s="3">
        <v>0</v>
      </c>
      <c r="DD8" s="9">
        <v>2.7</v>
      </c>
      <c r="DE8" s="3">
        <v>2</v>
      </c>
      <c r="DF8" s="3">
        <v>3</v>
      </c>
      <c r="DG8" s="3">
        <v>3</v>
      </c>
      <c r="DH8" s="3">
        <v>1</v>
      </c>
      <c r="DI8" s="3">
        <v>2</v>
      </c>
      <c r="DJ8" s="3">
        <v>2</v>
      </c>
      <c r="DK8" s="3">
        <v>3</v>
      </c>
      <c r="DL8" s="3">
        <v>2</v>
      </c>
      <c r="DM8" s="3">
        <v>3</v>
      </c>
      <c r="DN8" s="3">
        <v>3</v>
      </c>
      <c r="DO8" s="3">
        <v>1</v>
      </c>
      <c r="DP8" s="20">
        <v>2</v>
      </c>
      <c r="DQ8" s="9">
        <v>2.9</v>
      </c>
      <c r="DR8" s="3">
        <v>1</v>
      </c>
      <c r="DS8" s="3">
        <v>1</v>
      </c>
      <c r="DT8" s="3">
        <v>1</v>
      </c>
      <c r="DU8" s="3">
        <v>3</v>
      </c>
      <c r="DV8" s="3">
        <v>4</v>
      </c>
      <c r="DW8" s="3">
        <v>1</v>
      </c>
      <c r="DX8" s="3">
        <v>5</v>
      </c>
      <c r="DY8" s="3">
        <v>4</v>
      </c>
      <c r="DZ8" s="3">
        <v>4</v>
      </c>
      <c r="EA8" s="3">
        <v>4</v>
      </c>
      <c r="EB8" s="3">
        <v>1</v>
      </c>
      <c r="EC8" s="3">
        <v>0</v>
      </c>
      <c r="ED8" s="9">
        <f>+IFERROR((SUM(EE8:EP8)/10),0)</f>
        <v>1.8</v>
      </c>
      <c r="EE8" s="3">
        <v>1</v>
      </c>
      <c r="EF8" s="3">
        <v>0</v>
      </c>
      <c r="EG8" s="3">
        <v>3</v>
      </c>
      <c r="EH8" s="3">
        <v>1</v>
      </c>
      <c r="EI8" s="3">
        <v>3</v>
      </c>
      <c r="EJ8" s="3">
        <v>2</v>
      </c>
      <c r="EK8" s="3">
        <v>2</v>
      </c>
      <c r="EL8" s="3">
        <v>2</v>
      </c>
      <c r="EM8" s="3">
        <v>3</v>
      </c>
      <c r="EN8" s="3">
        <v>1</v>
      </c>
      <c r="EO8" s="3">
        <v>0</v>
      </c>
      <c r="EP8" s="3">
        <v>0</v>
      </c>
      <c r="EQ8" s="9">
        <f>+IFERROR((SUM(ER8:FC8)/10),0)</f>
        <v>0.4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1</v>
      </c>
      <c r="EX8" s="3">
        <v>0</v>
      </c>
      <c r="EY8" s="3">
        <v>1</v>
      </c>
      <c r="EZ8" s="3">
        <v>1</v>
      </c>
      <c r="FA8" s="3">
        <v>0</v>
      </c>
      <c r="FB8" s="3">
        <v>1</v>
      </c>
      <c r="FC8" s="3">
        <v>0</v>
      </c>
      <c r="FD8" s="69">
        <f t="shared" ref="FD8:FD111" si="9">SUM(FE8:FP8)/10</f>
        <v>3.8</v>
      </c>
      <c r="FE8" s="3">
        <v>4</v>
      </c>
      <c r="FF8" s="3">
        <v>5</v>
      </c>
      <c r="FG8" s="3">
        <v>4</v>
      </c>
      <c r="FH8" s="3">
        <v>5</v>
      </c>
      <c r="FI8" s="3">
        <v>5</v>
      </c>
      <c r="FJ8" s="3">
        <v>6</v>
      </c>
      <c r="FK8" s="3">
        <v>5</v>
      </c>
      <c r="FL8" s="3">
        <v>2</v>
      </c>
      <c r="FM8" s="3">
        <v>1</v>
      </c>
      <c r="FN8" s="3">
        <v>1</v>
      </c>
      <c r="FO8" s="3">
        <v>0</v>
      </c>
      <c r="FP8" s="3">
        <v>0</v>
      </c>
      <c r="FQ8" s="16">
        <v>2.1</v>
      </c>
      <c r="FR8" s="102"/>
      <c r="GA8" s="34"/>
    </row>
    <row r="9" spans="1:183" x14ac:dyDescent="0.25">
      <c r="A9" s="6" t="s">
        <v>270</v>
      </c>
      <c r="B9" s="25" t="s">
        <v>274</v>
      </c>
      <c r="C9" s="1" t="s">
        <v>273</v>
      </c>
      <c r="D9" s="141">
        <f t="shared" si="6"/>
        <v>2</v>
      </c>
      <c r="E9" s="141">
        <v>0</v>
      </c>
      <c r="F9" s="141">
        <v>2</v>
      </c>
      <c r="G9" s="141">
        <v>3</v>
      </c>
      <c r="H9" s="141">
        <v>3</v>
      </c>
      <c r="P9" s="77"/>
      <c r="Q9" s="159">
        <f t="shared" si="7"/>
        <v>3.9459999999999993</v>
      </c>
      <c r="R9" s="141">
        <v>3</v>
      </c>
      <c r="S9" s="141">
        <v>3</v>
      </c>
      <c r="T9" s="141">
        <v>5.33</v>
      </c>
      <c r="U9" s="141">
        <v>3</v>
      </c>
      <c r="V9" s="141">
        <v>2</v>
      </c>
      <c r="W9" s="141">
        <v>2.4700000000000002</v>
      </c>
      <c r="X9" s="141">
        <v>2.4700000000000002</v>
      </c>
      <c r="Y9" s="141">
        <v>4.33</v>
      </c>
      <c r="Z9" s="141">
        <v>5.33</v>
      </c>
      <c r="AA9" s="141">
        <v>5.33</v>
      </c>
      <c r="AB9" s="141">
        <v>1.6</v>
      </c>
      <c r="AC9" s="154">
        <v>1.6</v>
      </c>
      <c r="AD9" s="159">
        <v>2.8</v>
      </c>
      <c r="AE9" s="141">
        <v>2</v>
      </c>
      <c r="AF9" s="141">
        <v>2</v>
      </c>
      <c r="AG9" s="141">
        <v>2</v>
      </c>
      <c r="AH9" s="141">
        <v>2</v>
      </c>
      <c r="AI9" s="141">
        <v>2</v>
      </c>
      <c r="AJ9" s="141">
        <v>2</v>
      </c>
      <c r="AK9" s="141">
        <v>2</v>
      </c>
      <c r="AL9" s="141">
        <v>3</v>
      </c>
      <c r="AM9" s="141">
        <v>3</v>
      </c>
      <c r="AN9" s="141">
        <v>3</v>
      </c>
      <c r="AO9" s="141">
        <v>3</v>
      </c>
      <c r="AP9" s="141">
        <v>2</v>
      </c>
      <c r="AQ9" s="9">
        <f t="shared" si="8"/>
        <v>7.3970000000000002</v>
      </c>
      <c r="AR9" s="3">
        <v>7</v>
      </c>
      <c r="AS9" s="3">
        <v>7.99</v>
      </c>
      <c r="AT9" s="3">
        <v>8.99</v>
      </c>
      <c r="AU9" s="3">
        <v>8.99</v>
      </c>
      <c r="AV9" s="3">
        <v>6</v>
      </c>
      <c r="AW9" s="3">
        <v>6</v>
      </c>
      <c r="AX9" s="3">
        <v>6</v>
      </c>
      <c r="AY9" s="3">
        <v>5</v>
      </c>
      <c r="AZ9" s="3">
        <v>10</v>
      </c>
      <c r="BA9" s="3">
        <v>4</v>
      </c>
      <c r="BB9" s="3">
        <v>2</v>
      </c>
      <c r="BC9" s="3">
        <v>2</v>
      </c>
      <c r="BD9" s="117">
        <v>6.8</v>
      </c>
      <c r="BE9" s="3">
        <v>2</v>
      </c>
      <c r="BF9" s="3">
        <v>6</v>
      </c>
      <c r="BG9" s="3">
        <v>7</v>
      </c>
      <c r="BH9" s="3">
        <v>7</v>
      </c>
      <c r="BI9" s="3">
        <v>6</v>
      </c>
      <c r="BJ9" s="3">
        <v>6</v>
      </c>
      <c r="BK9" s="3">
        <v>6</v>
      </c>
      <c r="BL9" s="3">
        <v>6</v>
      </c>
      <c r="BM9" s="3">
        <v>7</v>
      </c>
      <c r="BN9" s="3">
        <v>7</v>
      </c>
      <c r="BO9" s="3">
        <v>4</v>
      </c>
      <c r="BP9" s="20">
        <v>4</v>
      </c>
      <c r="BQ9" s="65">
        <v>2</v>
      </c>
      <c r="BR9" s="3">
        <v>2</v>
      </c>
      <c r="BS9" s="3">
        <v>2</v>
      </c>
      <c r="BT9" s="3">
        <v>1</v>
      </c>
      <c r="BU9" s="3">
        <v>1</v>
      </c>
      <c r="BV9" s="3">
        <v>2</v>
      </c>
      <c r="BW9" s="3">
        <v>3</v>
      </c>
      <c r="BX9" s="3">
        <v>3</v>
      </c>
      <c r="BY9" s="3">
        <v>2</v>
      </c>
      <c r="BZ9" s="3">
        <v>2</v>
      </c>
      <c r="CA9" s="3">
        <v>2</v>
      </c>
      <c r="CB9" s="3">
        <v>0</v>
      </c>
      <c r="CC9" s="3">
        <v>0</v>
      </c>
      <c r="CD9" s="16">
        <v>2.2670000000000003</v>
      </c>
      <c r="CE9" s="3">
        <v>5</v>
      </c>
      <c r="CF9" s="3">
        <v>3</v>
      </c>
      <c r="CG9" s="3">
        <v>4</v>
      </c>
      <c r="CH9" s="3">
        <v>4</v>
      </c>
      <c r="CI9" s="3">
        <v>2</v>
      </c>
      <c r="CJ9" s="3">
        <v>1</v>
      </c>
      <c r="CK9" s="3">
        <v>1</v>
      </c>
      <c r="CL9" s="66">
        <v>1.1100000000000001</v>
      </c>
      <c r="CM9" s="66">
        <v>0.78</v>
      </c>
      <c r="CN9" s="66">
        <v>0.78</v>
      </c>
      <c r="CO9" s="3">
        <v>0</v>
      </c>
      <c r="CP9" s="3">
        <v>0</v>
      </c>
      <c r="CQ9" s="9">
        <v>10.9</v>
      </c>
      <c r="CR9" s="3">
        <v>0</v>
      </c>
      <c r="CS9" s="3">
        <v>15</v>
      </c>
      <c r="CT9" s="3">
        <v>14</v>
      </c>
      <c r="CU9" s="3">
        <v>12</v>
      </c>
      <c r="CV9" s="3">
        <v>12</v>
      </c>
      <c r="CW9" s="3">
        <v>13</v>
      </c>
      <c r="CX9" s="3">
        <v>11</v>
      </c>
      <c r="CY9" s="3">
        <v>12</v>
      </c>
      <c r="CZ9" s="3">
        <v>10</v>
      </c>
      <c r="DA9" s="3">
        <v>10</v>
      </c>
      <c r="DB9" s="3">
        <v>0</v>
      </c>
      <c r="DC9" s="3">
        <v>0</v>
      </c>
      <c r="DD9" s="9">
        <v>2.4</v>
      </c>
      <c r="DE9" s="3">
        <v>0</v>
      </c>
      <c r="DF9" s="3">
        <v>0</v>
      </c>
      <c r="DG9" s="3">
        <v>0</v>
      </c>
      <c r="DH9" s="3">
        <v>0</v>
      </c>
      <c r="DI9" s="3">
        <v>2</v>
      </c>
      <c r="DJ9" s="3">
        <v>2</v>
      </c>
      <c r="DK9" s="3">
        <v>4</v>
      </c>
      <c r="DL9" s="3">
        <v>4</v>
      </c>
      <c r="DM9" s="3">
        <v>6</v>
      </c>
      <c r="DN9" s="3">
        <v>6</v>
      </c>
      <c r="DO9" s="3">
        <v>0</v>
      </c>
      <c r="DP9" s="20">
        <v>0</v>
      </c>
      <c r="DQ9" s="89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9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9"/>
      <c r="ER9" s="87"/>
      <c r="ES9" s="87"/>
      <c r="ET9" s="87"/>
      <c r="EU9" s="87"/>
      <c r="EV9" s="87"/>
      <c r="EW9" s="87"/>
      <c r="EX9" s="87"/>
      <c r="EY9" s="87"/>
      <c r="EZ9" s="87"/>
      <c r="FA9" s="87"/>
      <c r="FB9" s="87"/>
      <c r="FC9" s="87"/>
      <c r="FD9" s="9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87"/>
      <c r="FP9" s="87"/>
      <c r="FQ9" s="91"/>
      <c r="FR9" s="102"/>
      <c r="GA9" s="34"/>
    </row>
    <row r="10" spans="1:183" x14ac:dyDescent="0.25">
      <c r="A10" s="6" t="s">
        <v>261</v>
      </c>
      <c r="B10" s="25" t="s">
        <v>266</v>
      </c>
      <c r="C10" s="1" t="s">
        <v>265</v>
      </c>
      <c r="D10" s="141">
        <f t="shared" si="6"/>
        <v>58.25</v>
      </c>
      <c r="E10" s="141">
        <v>51</v>
      </c>
      <c r="F10" s="141">
        <v>61</v>
      </c>
      <c r="G10" s="141">
        <v>63</v>
      </c>
      <c r="H10" s="141">
        <v>58</v>
      </c>
      <c r="P10" s="77"/>
      <c r="Q10" s="159">
        <f t="shared" si="7"/>
        <v>59.5</v>
      </c>
      <c r="R10" s="141">
        <v>33</v>
      </c>
      <c r="S10" s="141">
        <v>51</v>
      </c>
      <c r="T10" s="141">
        <v>66</v>
      </c>
      <c r="U10" s="141">
        <v>66</v>
      </c>
      <c r="V10" s="141">
        <v>68</v>
      </c>
      <c r="W10" s="141">
        <v>63</v>
      </c>
      <c r="X10" s="141">
        <v>66</v>
      </c>
      <c r="Y10" s="141">
        <v>59</v>
      </c>
      <c r="Z10" s="141">
        <v>63</v>
      </c>
      <c r="AA10" s="141">
        <v>60</v>
      </c>
      <c r="AB10" s="141">
        <v>0</v>
      </c>
      <c r="AC10" s="154">
        <v>0</v>
      </c>
      <c r="AD10" s="159">
        <v>61.8</v>
      </c>
      <c r="AE10" s="141">
        <v>44</v>
      </c>
      <c r="AF10" s="141">
        <v>52</v>
      </c>
      <c r="AG10" s="141">
        <v>56</v>
      </c>
      <c r="AH10" s="141">
        <v>71</v>
      </c>
      <c r="AI10" s="141">
        <v>66</v>
      </c>
      <c r="AJ10" s="141">
        <v>67</v>
      </c>
      <c r="AK10" s="141">
        <v>71</v>
      </c>
      <c r="AL10" s="141">
        <v>65</v>
      </c>
      <c r="AM10" s="141">
        <v>65</v>
      </c>
      <c r="AN10" s="141">
        <v>61</v>
      </c>
      <c r="AO10" s="141">
        <v>0</v>
      </c>
      <c r="AP10" s="141">
        <v>0</v>
      </c>
      <c r="AQ10" s="9">
        <f t="shared" si="8"/>
        <v>48.8</v>
      </c>
      <c r="AR10" s="3">
        <v>30</v>
      </c>
      <c r="AS10" s="3">
        <v>41</v>
      </c>
      <c r="AT10" s="3">
        <v>44</v>
      </c>
      <c r="AU10" s="3">
        <v>44</v>
      </c>
      <c r="AV10" s="3">
        <v>44</v>
      </c>
      <c r="AW10" s="3">
        <v>56</v>
      </c>
      <c r="AX10" s="3">
        <v>52</v>
      </c>
      <c r="AY10" s="3">
        <v>64</v>
      </c>
      <c r="AZ10" s="3">
        <v>59</v>
      </c>
      <c r="BA10" s="3">
        <v>54</v>
      </c>
      <c r="BB10" s="3">
        <v>0</v>
      </c>
      <c r="BC10" s="3">
        <v>0</v>
      </c>
      <c r="BD10" s="117">
        <v>38.1</v>
      </c>
      <c r="BE10" s="3">
        <v>20</v>
      </c>
      <c r="BF10" s="3">
        <v>30</v>
      </c>
      <c r="BG10" s="3">
        <v>35</v>
      </c>
      <c r="BH10" s="3">
        <v>37</v>
      </c>
      <c r="BI10" s="3">
        <v>41</v>
      </c>
      <c r="BJ10" s="3">
        <v>42</v>
      </c>
      <c r="BK10" s="3">
        <v>40</v>
      </c>
      <c r="BL10" s="3">
        <v>46</v>
      </c>
      <c r="BM10" s="3">
        <v>45</v>
      </c>
      <c r="BN10" s="3">
        <v>45</v>
      </c>
      <c r="BO10" s="3">
        <v>0</v>
      </c>
      <c r="BP10" s="20">
        <v>0</v>
      </c>
      <c r="BQ10" s="65">
        <v>25.8</v>
      </c>
      <c r="BR10" s="3">
        <v>30</v>
      </c>
      <c r="BS10" s="3">
        <v>23</v>
      </c>
      <c r="BT10" s="3">
        <v>19</v>
      </c>
      <c r="BU10" s="3">
        <v>26</v>
      </c>
      <c r="BV10" s="3">
        <v>25</v>
      </c>
      <c r="BW10" s="3">
        <v>21</v>
      </c>
      <c r="BX10" s="3">
        <v>27</v>
      </c>
      <c r="BY10" s="3">
        <v>32</v>
      </c>
      <c r="BZ10" s="3">
        <v>28</v>
      </c>
      <c r="CA10" s="3">
        <v>27</v>
      </c>
      <c r="CB10" s="3">
        <v>0</v>
      </c>
      <c r="CC10" s="3">
        <v>0</v>
      </c>
      <c r="CD10" s="16">
        <v>41.315000000000005</v>
      </c>
      <c r="CE10" s="3">
        <v>27</v>
      </c>
      <c r="CF10" s="3">
        <v>43</v>
      </c>
      <c r="CG10" s="3">
        <v>49</v>
      </c>
      <c r="CH10" s="3">
        <v>44</v>
      </c>
      <c r="CI10" s="3">
        <v>33</v>
      </c>
      <c r="CJ10" s="3">
        <v>40</v>
      </c>
      <c r="CK10" s="3">
        <v>40</v>
      </c>
      <c r="CL10" s="66">
        <v>51.43</v>
      </c>
      <c r="CM10" s="66">
        <v>44.29</v>
      </c>
      <c r="CN10" s="66">
        <v>41.43</v>
      </c>
      <c r="CO10" s="3">
        <v>0</v>
      </c>
      <c r="CP10" s="3">
        <v>0</v>
      </c>
      <c r="CQ10" s="9">
        <v>35.6</v>
      </c>
      <c r="CR10" s="3">
        <v>35</v>
      </c>
      <c r="CS10" s="3">
        <v>37</v>
      </c>
      <c r="CT10" s="3">
        <v>45</v>
      </c>
      <c r="CU10" s="3">
        <v>43</v>
      </c>
      <c r="CV10" s="3">
        <v>34</v>
      </c>
      <c r="CW10" s="3">
        <v>38</v>
      </c>
      <c r="CX10" s="3">
        <v>28</v>
      </c>
      <c r="CY10" s="3">
        <v>36</v>
      </c>
      <c r="CZ10" s="3">
        <v>31</v>
      </c>
      <c r="DA10" s="3">
        <v>29</v>
      </c>
      <c r="DB10" s="3">
        <v>0</v>
      </c>
      <c r="DC10" s="3">
        <v>0</v>
      </c>
      <c r="DD10" s="9">
        <v>23.4</v>
      </c>
      <c r="DE10" s="3">
        <v>3</v>
      </c>
      <c r="DF10" s="3">
        <v>10</v>
      </c>
      <c r="DG10" s="3">
        <v>19</v>
      </c>
      <c r="DH10" s="3">
        <v>23</v>
      </c>
      <c r="DI10" s="3">
        <v>24</v>
      </c>
      <c r="DJ10" s="3">
        <v>25</v>
      </c>
      <c r="DK10" s="3">
        <v>28</v>
      </c>
      <c r="DL10" s="3">
        <v>35</v>
      </c>
      <c r="DM10" s="3">
        <v>35</v>
      </c>
      <c r="DN10" s="3">
        <v>32</v>
      </c>
      <c r="DO10" s="3">
        <v>0</v>
      </c>
      <c r="DP10" s="20">
        <v>0</v>
      </c>
      <c r="DQ10" s="9">
        <v>0</v>
      </c>
      <c r="DR10" s="3"/>
      <c r="DS10" s="3"/>
      <c r="DT10" s="3"/>
      <c r="DV10" s="3"/>
      <c r="DW10" s="3"/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89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9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9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91"/>
      <c r="FR10" s="102"/>
      <c r="GA10" s="34"/>
    </row>
    <row r="11" spans="1:183" x14ac:dyDescent="0.25">
      <c r="A11" s="6" t="s">
        <v>250</v>
      </c>
      <c r="B11" s="25" t="s">
        <v>252</v>
      </c>
      <c r="C11" s="1" t="s">
        <v>251</v>
      </c>
      <c r="D11" s="141">
        <f t="shared" si="6"/>
        <v>97.802499999999995</v>
      </c>
      <c r="E11" s="141">
        <v>103.25</v>
      </c>
      <c r="F11" s="141">
        <v>100.78</v>
      </c>
      <c r="G11" s="141">
        <v>102.37</v>
      </c>
      <c r="H11" s="141">
        <v>84.81</v>
      </c>
      <c r="P11" s="77"/>
      <c r="Q11" s="159">
        <f t="shared" si="7"/>
        <v>93.159000000000006</v>
      </c>
      <c r="R11" s="141">
        <v>77.23</v>
      </c>
      <c r="S11" s="141">
        <v>74.61</v>
      </c>
      <c r="T11" s="141">
        <v>77.13</v>
      </c>
      <c r="U11" s="141">
        <v>65.150000000000006</v>
      </c>
      <c r="V11" s="141">
        <v>96.55</v>
      </c>
      <c r="W11" s="141">
        <v>92.6</v>
      </c>
      <c r="X11" s="141">
        <v>84.26</v>
      </c>
      <c r="Y11" s="141">
        <v>105.24000000000001</v>
      </c>
      <c r="Z11" s="141">
        <v>108.5</v>
      </c>
      <c r="AA11" s="141">
        <v>92.539999999999992</v>
      </c>
      <c r="AB11" s="141">
        <v>35.950000000000003</v>
      </c>
      <c r="AC11" s="154">
        <v>21.83</v>
      </c>
      <c r="AD11" s="159">
        <v>94.168999999999997</v>
      </c>
      <c r="AE11" s="141">
        <v>67.81</v>
      </c>
      <c r="AF11" s="141">
        <v>72.599999999999994</v>
      </c>
      <c r="AG11" s="141">
        <v>78.39</v>
      </c>
      <c r="AH11" s="141">
        <v>78.19</v>
      </c>
      <c r="AI11" s="141">
        <v>91.009999999999991</v>
      </c>
      <c r="AJ11" s="141">
        <v>94.94</v>
      </c>
      <c r="AK11" s="141">
        <v>93.12</v>
      </c>
      <c r="AL11" s="141">
        <v>96.429999999999993</v>
      </c>
      <c r="AM11" s="141">
        <v>101.88</v>
      </c>
      <c r="AN11" s="141">
        <v>93.47</v>
      </c>
      <c r="AO11" s="141">
        <v>39.61</v>
      </c>
      <c r="AP11" s="141">
        <v>34.239999999999995</v>
      </c>
      <c r="AQ11" s="9">
        <f t="shared" si="8"/>
        <v>69.540000000000006</v>
      </c>
      <c r="AR11" s="3">
        <v>73.150000000000006</v>
      </c>
      <c r="AS11" s="3">
        <v>61.28</v>
      </c>
      <c r="AT11" s="3">
        <v>55.949999999999996</v>
      </c>
      <c r="AU11" s="3">
        <v>53.94</v>
      </c>
      <c r="AV11" s="3">
        <v>61.37</v>
      </c>
      <c r="AW11" s="3">
        <v>70.75</v>
      </c>
      <c r="AX11" s="3">
        <v>61.879999999999995</v>
      </c>
      <c r="AY11" s="3">
        <v>67.490000000000009</v>
      </c>
      <c r="AZ11" s="3">
        <v>70.08</v>
      </c>
      <c r="BA11" s="3">
        <v>67.349999999999994</v>
      </c>
      <c r="BB11" s="3">
        <v>29.97</v>
      </c>
      <c r="BC11" s="3">
        <v>22.19</v>
      </c>
      <c r="BD11" s="117">
        <v>67.721999999999994</v>
      </c>
      <c r="BE11" s="3">
        <v>53</v>
      </c>
      <c r="BF11" s="3">
        <v>51.84</v>
      </c>
      <c r="BG11" s="3">
        <v>48.21</v>
      </c>
      <c r="BH11" s="3">
        <v>44.550000000000004</v>
      </c>
      <c r="BI11" s="3">
        <v>68.23</v>
      </c>
      <c r="BJ11" s="3">
        <v>66.739999999999995</v>
      </c>
      <c r="BK11" s="3">
        <v>65.010000000000005</v>
      </c>
      <c r="BL11" s="3">
        <v>77.2</v>
      </c>
      <c r="BM11" s="3">
        <v>74.86</v>
      </c>
      <c r="BN11" s="3">
        <v>67.78</v>
      </c>
      <c r="BO11" s="3">
        <v>34.75</v>
      </c>
      <c r="BP11" s="20">
        <v>25.05</v>
      </c>
      <c r="BQ11" s="65">
        <v>72.186000000000007</v>
      </c>
      <c r="BR11" s="3">
        <v>79.42</v>
      </c>
      <c r="BS11" s="3">
        <v>74.08</v>
      </c>
      <c r="BT11" s="3">
        <v>66.2</v>
      </c>
      <c r="BU11" s="3">
        <v>61.529999999999994</v>
      </c>
      <c r="BV11" s="3">
        <v>65.58</v>
      </c>
      <c r="BW11" s="3">
        <v>74.14</v>
      </c>
      <c r="BX11" s="3">
        <v>70.06</v>
      </c>
      <c r="BY11" s="3">
        <v>66.509999999999991</v>
      </c>
      <c r="BZ11" s="3">
        <v>69.03</v>
      </c>
      <c r="CA11" s="3">
        <v>56.339999999999996</v>
      </c>
      <c r="CB11" s="3">
        <v>22.709999999999997</v>
      </c>
      <c r="CC11" s="3">
        <v>16.259999999999998</v>
      </c>
      <c r="CD11" s="16">
        <v>91.161999999999992</v>
      </c>
      <c r="CE11" s="3">
        <v>85.490000000000009</v>
      </c>
      <c r="CF11" s="3">
        <v>96.63</v>
      </c>
      <c r="CG11" s="3">
        <v>91.15</v>
      </c>
      <c r="CH11" s="3">
        <v>80.940000000000012</v>
      </c>
      <c r="CI11" s="3">
        <v>89.710000000000008</v>
      </c>
      <c r="CJ11" s="3">
        <v>79.41</v>
      </c>
      <c r="CK11" s="3">
        <v>71.539999999999992</v>
      </c>
      <c r="CL11" s="66">
        <v>87.13</v>
      </c>
      <c r="CM11" s="66">
        <v>90.73</v>
      </c>
      <c r="CN11" s="66">
        <v>72.539999999999992</v>
      </c>
      <c r="CO11" s="3">
        <v>37.700000000000003</v>
      </c>
      <c r="CP11" s="3">
        <v>28.65</v>
      </c>
      <c r="CQ11" s="9">
        <v>105.23299999999999</v>
      </c>
      <c r="CR11" s="3">
        <v>95.7</v>
      </c>
      <c r="CS11" s="3">
        <v>107.87</v>
      </c>
      <c r="CT11" s="3">
        <v>117.55</v>
      </c>
      <c r="CU11" s="3">
        <v>100.12</v>
      </c>
      <c r="CV11" s="3">
        <v>104.61</v>
      </c>
      <c r="CW11" s="3">
        <v>107.82000000000001</v>
      </c>
      <c r="CX11" s="3">
        <v>91.01</v>
      </c>
      <c r="CY11" s="3">
        <v>99.44</v>
      </c>
      <c r="CZ11" s="3">
        <v>104.29</v>
      </c>
      <c r="DA11" s="3">
        <v>83.67</v>
      </c>
      <c r="DB11" s="3">
        <v>20.46</v>
      </c>
      <c r="DC11" s="3">
        <v>19.790000000000003</v>
      </c>
      <c r="DD11" s="9">
        <v>32.720999999999997</v>
      </c>
      <c r="DE11" s="3">
        <v>5.13</v>
      </c>
      <c r="DF11" s="3">
        <v>6.66</v>
      </c>
      <c r="DG11" s="3">
        <v>17.139999999999997</v>
      </c>
      <c r="DH11" s="3">
        <v>14.47</v>
      </c>
      <c r="DI11" s="3">
        <v>35.14</v>
      </c>
      <c r="DJ11" s="3">
        <v>37.47</v>
      </c>
      <c r="DK11" s="3">
        <v>26.340000000000003</v>
      </c>
      <c r="DL11" s="3">
        <v>35.21</v>
      </c>
      <c r="DM11" s="3">
        <v>42.48</v>
      </c>
      <c r="DN11" s="3">
        <v>32.799999999999997</v>
      </c>
      <c r="DO11" s="3">
        <v>35.770000000000003</v>
      </c>
      <c r="DP11" s="20">
        <v>38.6</v>
      </c>
      <c r="DQ11" s="9">
        <v>0</v>
      </c>
      <c r="DR11" s="3"/>
      <c r="DS11" s="3"/>
      <c r="DT11" s="3"/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89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8"/>
      <c r="EQ11" s="89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9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91"/>
      <c r="FR11" s="102"/>
      <c r="GA11" s="34"/>
    </row>
    <row r="12" spans="1:183" x14ac:dyDescent="0.25">
      <c r="A12" s="6"/>
      <c r="B12" s="27" t="s">
        <v>428</v>
      </c>
      <c r="C12" s="4" t="s">
        <v>427</v>
      </c>
      <c r="D12" s="137">
        <f t="shared" si="6"/>
        <v>3.75</v>
      </c>
      <c r="E12" s="137">
        <v>0</v>
      </c>
      <c r="F12" s="137">
        <v>1</v>
      </c>
      <c r="G12" s="137">
        <v>7</v>
      </c>
      <c r="H12" s="137">
        <v>7</v>
      </c>
      <c r="I12" s="4"/>
      <c r="J12" s="4"/>
      <c r="K12" s="4"/>
      <c r="L12" s="4"/>
      <c r="M12" s="4"/>
      <c r="N12" s="4"/>
      <c r="O12" s="4"/>
      <c r="P12" s="178"/>
      <c r="Q12" s="98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114"/>
      <c r="AD12" s="98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130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114"/>
      <c r="BQ12" s="131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101"/>
      <c r="CE12" s="99"/>
      <c r="CF12" s="99"/>
      <c r="CG12" s="99"/>
      <c r="CH12" s="99"/>
      <c r="CI12" s="99"/>
      <c r="CJ12" s="99"/>
      <c r="CK12" s="99"/>
      <c r="CL12" s="115"/>
      <c r="CM12" s="115"/>
      <c r="CN12" s="115"/>
      <c r="CO12" s="99"/>
      <c r="CP12" s="99"/>
      <c r="CQ12" s="98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8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114"/>
      <c r="DQ12" s="98"/>
      <c r="DR12" s="14"/>
      <c r="DS12" s="14"/>
      <c r="DT12" s="14"/>
      <c r="DU12" s="4"/>
      <c r="DV12" s="14"/>
      <c r="DW12" s="14"/>
      <c r="DX12" s="14"/>
      <c r="DY12" s="14"/>
      <c r="DZ12" s="14"/>
      <c r="EA12" s="14"/>
      <c r="EB12" s="14"/>
      <c r="EC12" s="14"/>
      <c r="ED12" s="98"/>
      <c r="EE12" s="99"/>
      <c r="EF12" s="99"/>
      <c r="EG12" s="99"/>
      <c r="EH12" s="99"/>
      <c r="EI12" s="99"/>
      <c r="EJ12" s="99"/>
      <c r="EK12" s="99"/>
      <c r="EL12" s="99"/>
      <c r="EM12" s="99"/>
      <c r="EN12" s="99"/>
      <c r="EO12" s="99"/>
      <c r="EP12" s="134"/>
      <c r="EQ12" s="98"/>
      <c r="ER12" s="99"/>
      <c r="ES12" s="99"/>
      <c r="ET12" s="99"/>
      <c r="EU12" s="99"/>
      <c r="EV12" s="99"/>
      <c r="EW12" s="99"/>
      <c r="EX12" s="99"/>
      <c r="EY12" s="99"/>
      <c r="EZ12" s="99"/>
      <c r="FA12" s="99"/>
      <c r="FB12" s="99"/>
      <c r="FC12" s="99"/>
      <c r="FD12" s="100"/>
      <c r="FE12" s="99"/>
      <c r="FF12" s="99"/>
      <c r="FG12" s="99"/>
      <c r="FH12" s="99"/>
      <c r="FI12" s="99"/>
      <c r="FJ12" s="99"/>
      <c r="FK12" s="99"/>
      <c r="FL12" s="99"/>
      <c r="FM12" s="99"/>
      <c r="FN12" s="99"/>
      <c r="FO12" s="99"/>
      <c r="FP12" s="99"/>
      <c r="FQ12" s="101"/>
      <c r="FR12" s="108"/>
      <c r="GA12" s="34"/>
    </row>
    <row r="13" spans="1:183" x14ac:dyDescent="0.25">
      <c r="A13" s="12" t="s">
        <v>228</v>
      </c>
      <c r="B13" s="25" t="s">
        <v>230</v>
      </c>
      <c r="C13" s="1" t="s">
        <v>237</v>
      </c>
      <c r="D13" s="141">
        <f t="shared" si="6"/>
        <v>0</v>
      </c>
      <c r="E13" s="141">
        <v>0</v>
      </c>
      <c r="F13" s="141">
        <v>0</v>
      </c>
      <c r="G13" s="141">
        <v>0</v>
      </c>
      <c r="H13" s="141">
        <v>0</v>
      </c>
      <c r="P13" s="77"/>
      <c r="Q13" s="159">
        <f t="shared" ref="Q13:Q55" si="10">SUM(R13:AC13)/10</f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</v>
      </c>
      <c r="Z13" s="141">
        <v>0</v>
      </c>
      <c r="AA13" s="141">
        <v>0</v>
      </c>
      <c r="AB13" s="141">
        <v>0</v>
      </c>
      <c r="AC13" s="154">
        <v>0</v>
      </c>
      <c r="AD13" s="159">
        <v>0</v>
      </c>
      <c r="AE13" s="141">
        <v>0</v>
      </c>
      <c r="AF13" s="141">
        <v>0</v>
      </c>
      <c r="AG13" s="141">
        <v>0</v>
      </c>
      <c r="AH13" s="141">
        <v>0</v>
      </c>
      <c r="AI13" s="141">
        <v>0</v>
      </c>
      <c r="AJ13" s="141">
        <v>0</v>
      </c>
      <c r="AK13" s="141">
        <v>0</v>
      </c>
      <c r="AL13" s="141">
        <v>0</v>
      </c>
      <c r="AM13" s="141">
        <v>0</v>
      </c>
      <c r="AN13" s="141">
        <v>0</v>
      </c>
      <c r="AO13" s="141">
        <v>0</v>
      </c>
      <c r="AP13" s="154">
        <v>0</v>
      </c>
      <c r="AQ13" s="9">
        <f t="shared" si="8"/>
        <v>0.2</v>
      </c>
      <c r="AR13" s="3">
        <v>2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20">
        <v>0</v>
      </c>
      <c r="BD13" s="117">
        <v>3.4</v>
      </c>
      <c r="BE13" s="3">
        <v>5</v>
      </c>
      <c r="BF13" s="3">
        <v>5</v>
      </c>
      <c r="BG13" s="3">
        <v>3</v>
      </c>
      <c r="BH13" s="3">
        <v>5</v>
      </c>
      <c r="BI13" s="3">
        <v>4</v>
      </c>
      <c r="BJ13" s="3">
        <v>3</v>
      </c>
      <c r="BK13" s="3">
        <v>2</v>
      </c>
      <c r="BL13" s="3">
        <v>2</v>
      </c>
      <c r="BM13" s="3">
        <v>2</v>
      </c>
      <c r="BN13" s="3">
        <v>1</v>
      </c>
      <c r="BO13" s="3">
        <v>1</v>
      </c>
      <c r="BP13" s="20">
        <v>1</v>
      </c>
      <c r="BQ13" s="65">
        <v>14.8</v>
      </c>
      <c r="BR13" s="3">
        <v>26</v>
      </c>
      <c r="BS13" s="3">
        <v>24</v>
      </c>
      <c r="BT13" s="3">
        <v>14</v>
      </c>
      <c r="BU13" s="3">
        <v>17</v>
      </c>
      <c r="BV13" s="3">
        <v>14</v>
      </c>
      <c r="BW13" s="3">
        <v>11</v>
      </c>
      <c r="BX13" s="3">
        <v>11</v>
      </c>
      <c r="BY13" s="3">
        <v>10</v>
      </c>
      <c r="BZ13" s="3">
        <v>9</v>
      </c>
      <c r="CA13" s="3">
        <v>6</v>
      </c>
      <c r="CB13" s="3">
        <v>5</v>
      </c>
      <c r="CC13" s="3">
        <v>1</v>
      </c>
      <c r="CD13" s="16">
        <v>46.83</v>
      </c>
      <c r="CE13" s="3">
        <v>35</v>
      </c>
      <c r="CF13" s="3">
        <v>33</v>
      </c>
      <c r="CG13" s="3">
        <v>35</v>
      </c>
      <c r="CH13" s="3">
        <v>37</v>
      </c>
      <c r="CI13" s="3">
        <v>34</v>
      </c>
      <c r="CJ13" s="3">
        <v>34</v>
      </c>
      <c r="CK13" s="3">
        <v>38</v>
      </c>
      <c r="CL13" s="66">
        <v>54.400000000000006</v>
      </c>
      <c r="CM13" s="66">
        <v>52.699999999999996</v>
      </c>
      <c r="CN13" s="66">
        <v>61.199999999999996</v>
      </c>
      <c r="CO13" s="3">
        <v>29</v>
      </c>
      <c r="CP13" s="3">
        <v>25</v>
      </c>
      <c r="CQ13" s="9">
        <v>32.200000000000003</v>
      </c>
      <c r="CR13" s="3">
        <v>20</v>
      </c>
      <c r="CS13" s="3">
        <v>19</v>
      </c>
      <c r="CT13" s="3">
        <v>23</v>
      </c>
      <c r="CU13" s="3">
        <v>26</v>
      </c>
      <c r="CV13" s="3">
        <v>23</v>
      </c>
      <c r="CW13" s="3">
        <v>29</v>
      </c>
      <c r="CX13" s="3">
        <v>20</v>
      </c>
      <c r="CY13" s="3">
        <v>32</v>
      </c>
      <c r="CZ13" s="3">
        <v>31</v>
      </c>
      <c r="DA13" s="3">
        <v>36</v>
      </c>
      <c r="DB13" s="3">
        <v>33</v>
      </c>
      <c r="DC13" s="3">
        <v>30</v>
      </c>
      <c r="DD13" s="9">
        <v>11.3</v>
      </c>
      <c r="DE13" s="3">
        <v>0</v>
      </c>
      <c r="DF13" s="3">
        <v>0</v>
      </c>
      <c r="DG13" s="3">
        <v>0</v>
      </c>
      <c r="DH13" s="3">
        <v>0</v>
      </c>
      <c r="DI13" s="3">
        <v>2</v>
      </c>
      <c r="DJ13" s="3">
        <v>7</v>
      </c>
      <c r="DK13" s="3">
        <v>7</v>
      </c>
      <c r="DL13" s="3">
        <v>14</v>
      </c>
      <c r="DM13" s="3">
        <v>20</v>
      </c>
      <c r="DN13" s="3">
        <v>19</v>
      </c>
      <c r="DO13" s="3">
        <v>20</v>
      </c>
      <c r="DP13" s="20">
        <v>24</v>
      </c>
      <c r="DQ13" s="9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89"/>
      <c r="EE13" s="87"/>
      <c r="EF13" s="87"/>
      <c r="EG13" s="87"/>
      <c r="EH13" s="87"/>
      <c r="EI13" s="87"/>
      <c r="EJ13" s="87"/>
      <c r="EK13" s="87"/>
      <c r="EL13" s="87"/>
      <c r="EM13" s="87"/>
      <c r="EN13" s="87"/>
      <c r="EO13" s="87"/>
      <c r="EP13" s="88"/>
      <c r="EQ13" s="89"/>
      <c r="ER13" s="87"/>
      <c r="ES13" s="87"/>
      <c r="ET13" s="87"/>
      <c r="EU13" s="87"/>
      <c r="EV13" s="87"/>
      <c r="EW13" s="87"/>
      <c r="EX13" s="87"/>
      <c r="EY13" s="87"/>
      <c r="EZ13" s="87"/>
      <c r="FA13" s="87"/>
      <c r="FB13" s="87"/>
      <c r="FC13" s="87"/>
      <c r="FD13" s="97"/>
      <c r="FE13" s="87"/>
      <c r="FF13" s="87"/>
      <c r="FG13" s="87"/>
      <c r="FH13" s="87"/>
      <c r="FI13" s="87"/>
      <c r="FJ13" s="87"/>
      <c r="FK13" s="87"/>
      <c r="FL13" s="87"/>
      <c r="FM13" s="87"/>
      <c r="FN13" s="87"/>
      <c r="FO13" s="87"/>
      <c r="FP13" s="87"/>
      <c r="FQ13" s="91"/>
      <c r="FR13" s="102"/>
      <c r="GA13" s="34"/>
    </row>
    <row r="14" spans="1:183" x14ac:dyDescent="0.25">
      <c r="A14" s="6" t="s">
        <v>160</v>
      </c>
      <c r="B14" s="25" t="s">
        <v>152</v>
      </c>
      <c r="C14" s="1" t="s">
        <v>151</v>
      </c>
      <c r="D14" s="141">
        <f t="shared" si="6"/>
        <v>34.25</v>
      </c>
      <c r="E14" s="141">
        <v>23</v>
      </c>
      <c r="F14" s="141">
        <v>37</v>
      </c>
      <c r="G14" s="141">
        <v>39</v>
      </c>
      <c r="H14" s="141">
        <v>38</v>
      </c>
      <c r="P14" s="77"/>
      <c r="Q14" s="159">
        <f t="shared" si="10"/>
        <v>36</v>
      </c>
      <c r="R14" s="141">
        <v>24</v>
      </c>
      <c r="S14" s="141">
        <v>35</v>
      </c>
      <c r="T14" s="141">
        <v>38</v>
      </c>
      <c r="U14" s="141">
        <v>36</v>
      </c>
      <c r="V14" s="141">
        <v>35</v>
      </c>
      <c r="W14" s="141">
        <v>35</v>
      </c>
      <c r="X14" s="141">
        <v>38</v>
      </c>
      <c r="Y14" s="141">
        <v>46</v>
      </c>
      <c r="Z14" s="141">
        <v>36</v>
      </c>
      <c r="AA14" s="141">
        <v>37</v>
      </c>
      <c r="AB14" s="141">
        <v>0</v>
      </c>
      <c r="AC14" s="154">
        <v>0</v>
      </c>
      <c r="AD14" s="159">
        <v>32.200000000000003</v>
      </c>
      <c r="AE14" s="141">
        <v>26</v>
      </c>
      <c r="AF14" s="141">
        <v>27</v>
      </c>
      <c r="AG14" s="141">
        <v>32</v>
      </c>
      <c r="AH14" s="141">
        <v>39</v>
      </c>
      <c r="AI14" s="141">
        <v>34</v>
      </c>
      <c r="AJ14" s="141">
        <v>32</v>
      </c>
      <c r="AK14" s="141">
        <v>31</v>
      </c>
      <c r="AL14" s="141">
        <v>33</v>
      </c>
      <c r="AM14" s="141">
        <v>30</v>
      </c>
      <c r="AN14" s="141">
        <v>38</v>
      </c>
      <c r="AO14" s="141">
        <v>0</v>
      </c>
      <c r="AP14" s="154">
        <v>0</v>
      </c>
      <c r="AQ14" s="9">
        <f t="shared" si="8"/>
        <v>22.4</v>
      </c>
      <c r="AR14" s="3">
        <v>14</v>
      </c>
      <c r="AS14" s="3">
        <v>18</v>
      </c>
      <c r="AT14" s="3">
        <v>23</v>
      </c>
      <c r="AU14" s="3">
        <v>18</v>
      </c>
      <c r="AV14" s="3">
        <v>16</v>
      </c>
      <c r="AW14" s="3">
        <v>24</v>
      </c>
      <c r="AX14" s="3">
        <v>24</v>
      </c>
      <c r="AY14" s="3">
        <v>27</v>
      </c>
      <c r="AZ14" s="3">
        <v>28</v>
      </c>
      <c r="BA14" s="3">
        <v>32</v>
      </c>
      <c r="BB14" s="3">
        <v>0</v>
      </c>
      <c r="BC14" s="20">
        <v>0</v>
      </c>
      <c r="BD14" s="117">
        <v>15.7</v>
      </c>
      <c r="BE14" s="3">
        <v>18</v>
      </c>
      <c r="BF14" s="3">
        <v>18</v>
      </c>
      <c r="BG14" s="3">
        <v>20</v>
      </c>
      <c r="BH14" s="3">
        <v>13</v>
      </c>
      <c r="BI14" s="3">
        <v>14</v>
      </c>
      <c r="BJ14" s="3">
        <v>15</v>
      </c>
      <c r="BK14" s="3">
        <v>15</v>
      </c>
      <c r="BL14" s="3">
        <v>15</v>
      </c>
      <c r="BM14" s="3">
        <v>14</v>
      </c>
      <c r="BN14" s="3">
        <v>15</v>
      </c>
      <c r="BO14" s="3">
        <v>0</v>
      </c>
      <c r="BP14" s="20">
        <v>0</v>
      </c>
      <c r="BQ14" s="65">
        <v>22.9</v>
      </c>
      <c r="BR14" s="3">
        <v>36</v>
      </c>
      <c r="BS14" s="3">
        <v>27</v>
      </c>
      <c r="BT14" s="3">
        <v>35</v>
      </c>
      <c r="BU14" s="3">
        <v>22</v>
      </c>
      <c r="BV14" s="3">
        <v>21</v>
      </c>
      <c r="BW14" s="3">
        <v>20</v>
      </c>
      <c r="BX14" s="3">
        <v>21</v>
      </c>
      <c r="BY14" s="3">
        <v>19</v>
      </c>
      <c r="BZ14" s="3">
        <v>15</v>
      </c>
      <c r="CA14" s="3">
        <v>13</v>
      </c>
      <c r="CB14" s="3">
        <v>0</v>
      </c>
      <c r="CC14" s="3">
        <v>0</v>
      </c>
      <c r="CD14" s="16">
        <v>28.943999999999999</v>
      </c>
      <c r="CE14" s="3">
        <v>23</v>
      </c>
      <c r="CF14" s="3">
        <v>28</v>
      </c>
      <c r="CG14" s="3">
        <v>30</v>
      </c>
      <c r="CH14" s="3">
        <v>29</v>
      </c>
      <c r="CI14" s="3">
        <v>31</v>
      </c>
      <c r="CJ14" s="3">
        <v>31</v>
      </c>
      <c r="CK14" s="3">
        <v>37</v>
      </c>
      <c r="CL14" s="66">
        <v>26.57</v>
      </c>
      <c r="CM14" s="66">
        <v>29.52</v>
      </c>
      <c r="CN14" s="66">
        <v>24.35</v>
      </c>
      <c r="CO14" s="3">
        <v>0</v>
      </c>
      <c r="CP14" s="3">
        <v>0</v>
      </c>
      <c r="CQ14" s="9">
        <v>28.1</v>
      </c>
      <c r="CR14" s="3">
        <v>11</v>
      </c>
      <c r="CS14" s="3">
        <v>23</v>
      </c>
      <c r="CT14" s="3">
        <v>26</v>
      </c>
      <c r="CU14" s="3">
        <v>24</v>
      </c>
      <c r="CV14" s="3">
        <v>19</v>
      </c>
      <c r="CW14" s="3">
        <v>23</v>
      </c>
      <c r="CX14" s="3">
        <v>42</v>
      </c>
      <c r="CY14" s="3">
        <v>36</v>
      </c>
      <c r="CZ14" s="3">
        <v>40</v>
      </c>
      <c r="DA14" s="3">
        <v>33</v>
      </c>
      <c r="DB14" s="3">
        <v>4</v>
      </c>
      <c r="DC14" s="3">
        <v>0</v>
      </c>
      <c r="DD14" s="9">
        <v>13.2</v>
      </c>
      <c r="DE14" s="3">
        <v>11</v>
      </c>
      <c r="DF14" s="3">
        <v>9</v>
      </c>
      <c r="DG14" s="3">
        <v>17</v>
      </c>
      <c r="DH14" s="3">
        <v>13</v>
      </c>
      <c r="DI14" s="3">
        <v>8</v>
      </c>
      <c r="DJ14" s="3">
        <v>15</v>
      </c>
      <c r="DK14" s="3">
        <v>17</v>
      </c>
      <c r="DL14" s="3">
        <v>19</v>
      </c>
      <c r="DM14" s="3">
        <v>13</v>
      </c>
      <c r="DN14" s="3">
        <v>10</v>
      </c>
      <c r="DO14" s="3">
        <v>0</v>
      </c>
      <c r="DP14" s="20">
        <v>0</v>
      </c>
      <c r="DQ14" s="9">
        <v>25</v>
      </c>
      <c r="DR14" s="3">
        <v>23</v>
      </c>
      <c r="DS14" s="3">
        <v>28</v>
      </c>
      <c r="DT14" s="3">
        <v>29</v>
      </c>
      <c r="DU14" s="3">
        <v>31</v>
      </c>
      <c r="DV14" s="3">
        <v>21</v>
      </c>
      <c r="DW14" s="3">
        <v>23</v>
      </c>
      <c r="DX14" s="3">
        <v>25</v>
      </c>
      <c r="DY14" s="3">
        <v>25</v>
      </c>
      <c r="DZ14" s="3">
        <v>25</v>
      </c>
      <c r="EA14" s="3">
        <v>20</v>
      </c>
      <c r="EB14" s="3">
        <v>0</v>
      </c>
      <c r="EC14" s="3">
        <v>0</v>
      </c>
      <c r="ED14" s="9">
        <f>+IFERROR((SUM(EE14:EP14)/10),0)</f>
        <v>18.96</v>
      </c>
      <c r="EE14" s="3">
        <v>7.4</v>
      </c>
      <c r="EF14" s="3">
        <v>11.3</v>
      </c>
      <c r="EG14" s="3">
        <v>8.5</v>
      </c>
      <c r="EH14" s="3">
        <v>14.4</v>
      </c>
      <c r="EI14" s="3">
        <v>14.4</v>
      </c>
      <c r="EJ14" s="3">
        <v>22.2</v>
      </c>
      <c r="EK14" s="3">
        <v>27.1</v>
      </c>
      <c r="EL14" s="3">
        <v>25.1</v>
      </c>
      <c r="EM14" s="3">
        <v>30.1</v>
      </c>
      <c r="EN14" s="3">
        <v>29.1</v>
      </c>
      <c r="EO14" s="3">
        <v>0</v>
      </c>
      <c r="EP14" s="3">
        <v>0</v>
      </c>
      <c r="EQ14" s="9">
        <f t="shared" ref="EQ14:EQ17" si="11">+IFERROR((SUM(ER14:FC14)/10),0)</f>
        <v>8.77</v>
      </c>
      <c r="ER14" s="3">
        <v>1</v>
      </c>
      <c r="ES14" s="3">
        <v>1</v>
      </c>
      <c r="ET14" s="3">
        <v>7.2</v>
      </c>
      <c r="EU14" s="3">
        <v>12.2</v>
      </c>
      <c r="EV14" s="3">
        <v>10.199999999999999</v>
      </c>
      <c r="EW14" s="3">
        <v>9.3000000000000007</v>
      </c>
      <c r="EX14" s="3">
        <v>12.1</v>
      </c>
      <c r="EY14" s="3">
        <v>13</v>
      </c>
      <c r="EZ14" s="3">
        <v>11.3</v>
      </c>
      <c r="FA14" s="3">
        <v>10.4</v>
      </c>
      <c r="FB14" s="3">
        <v>0</v>
      </c>
      <c r="FC14" s="3">
        <v>0</v>
      </c>
      <c r="FD14" s="97"/>
      <c r="FE14" s="107"/>
      <c r="FF14" s="107"/>
      <c r="FG14" s="107"/>
      <c r="FH14" s="107"/>
      <c r="FI14" s="107"/>
      <c r="FJ14" s="107"/>
      <c r="FK14" s="107"/>
      <c r="FL14" s="107"/>
      <c r="FM14" s="107"/>
      <c r="FN14" s="107"/>
      <c r="FO14" s="107"/>
      <c r="FP14" s="107"/>
      <c r="FQ14" s="102"/>
      <c r="FR14" s="102"/>
      <c r="GA14" s="34"/>
    </row>
    <row r="15" spans="1:183" x14ac:dyDescent="0.25">
      <c r="A15" s="6" t="s">
        <v>87</v>
      </c>
      <c r="B15" s="25" t="s">
        <v>70</v>
      </c>
      <c r="C15" s="1" t="s">
        <v>69</v>
      </c>
      <c r="D15" s="141">
        <f t="shared" si="6"/>
        <v>83.25</v>
      </c>
      <c r="E15" s="141">
        <v>58</v>
      </c>
      <c r="F15" s="141">
        <v>85</v>
      </c>
      <c r="G15" s="141">
        <v>94</v>
      </c>
      <c r="H15" s="141">
        <v>96</v>
      </c>
      <c r="P15" s="77"/>
      <c r="Q15" s="159">
        <f t="shared" si="10"/>
        <v>25.8</v>
      </c>
      <c r="R15" s="141">
        <v>18</v>
      </c>
      <c r="S15" s="141">
        <v>21</v>
      </c>
      <c r="T15" s="141">
        <v>23</v>
      </c>
      <c r="U15" s="141">
        <v>23</v>
      </c>
      <c r="V15" s="141">
        <v>22</v>
      </c>
      <c r="W15" s="141">
        <v>22</v>
      </c>
      <c r="X15" s="141">
        <v>25</v>
      </c>
      <c r="Y15" s="141">
        <v>24</v>
      </c>
      <c r="Z15" s="141">
        <v>24</v>
      </c>
      <c r="AA15" s="141">
        <v>25</v>
      </c>
      <c r="AB15" s="141">
        <v>16</v>
      </c>
      <c r="AC15" s="154">
        <v>15</v>
      </c>
      <c r="AD15" s="159">
        <v>31.5</v>
      </c>
      <c r="AE15" s="141">
        <v>20</v>
      </c>
      <c r="AF15" s="141">
        <v>21</v>
      </c>
      <c r="AG15" s="141">
        <v>24</v>
      </c>
      <c r="AH15" s="141">
        <v>27</v>
      </c>
      <c r="AI15" s="141">
        <v>27</v>
      </c>
      <c r="AJ15" s="141">
        <v>26</v>
      </c>
      <c r="AK15" s="141">
        <v>28</v>
      </c>
      <c r="AL15" s="141">
        <v>35</v>
      </c>
      <c r="AM15" s="141">
        <v>37</v>
      </c>
      <c r="AN15" s="141">
        <v>32</v>
      </c>
      <c r="AO15" s="141">
        <v>20</v>
      </c>
      <c r="AP15" s="154">
        <v>18</v>
      </c>
      <c r="AQ15" s="9">
        <f t="shared" si="8"/>
        <v>29.5</v>
      </c>
      <c r="AR15" s="3">
        <v>25</v>
      </c>
      <c r="AS15" s="3">
        <v>19</v>
      </c>
      <c r="AT15" s="3">
        <v>20</v>
      </c>
      <c r="AU15" s="3">
        <v>23</v>
      </c>
      <c r="AV15" s="3">
        <v>21</v>
      </c>
      <c r="AW15" s="3">
        <v>20</v>
      </c>
      <c r="AX15" s="3">
        <v>23</v>
      </c>
      <c r="AY15" s="3">
        <v>27</v>
      </c>
      <c r="AZ15" s="3">
        <v>28</v>
      </c>
      <c r="BA15" s="3">
        <v>33</v>
      </c>
      <c r="BB15" s="3">
        <v>30</v>
      </c>
      <c r="BC15" s="20">
        <v>26</v>
      </c>
      <c r="BD15" s="117">
        <v>37.5</v>
      </c>
      <c r="BE15" s="3">
        <v>24</v>
      </c>
      <c r="BF15" s="3">
        <v>28</v>
      </c>
      <c r="BG15" s="3">
        <v>34</v>
      </c>
      <c r="BH15" s="3">
        <v>29</v>
      </c>
      <c r="BI15" s="3">
        <v>30</v>
      </c>
      <c r="BJ15" s="3">
        <v>31</v>
      </c>
      <c r="BK15" s="3">
        <v>33</v>
      </c>
      <c r="BL15" s="3">
        <v>41</v>
      </c>
      <c r="BM15" s="3">
        <v>40</v>
      </c>
      <c r="BN15" s="3">
        <v>35</v>
      </c>
      <c r="BO15" s="3">
        <v>26</v>
      </c>
      <c r="BP15" s="20">
        <v>24</v>
      </c>
      <c r="BQ15" s="65">
        <v>39.200000000000003</v>
      </c>
      <c r="BR15" s="3">
        <v>41</v>
      </c>
      <c r="BS15" s="3">
        <v>37</v>
      </c>
      <c r="BT15" s="3">
        <v>31</v>
      </c>
      <c r="BU15" s="3">
        <v>34</v>
      </c>
      <c r="BV15" s="3">
        <v>37</v>
      </c>
      <c r="BW15" s="3">
        <v>38</v>
      </c>
      <c r="BX15" s="3">
        <v>30</v>
      </c>
      <c r="BY15" s="3">
        <v>31</v>
      </c>
      <c r="BZ15" s="3">
        <v>30</v>
      </c>
      <c r="CA15" s="3">
        <v>37</v>
      </c>
      <c r="CB15" s="3">
        <v>26</v>
      </c>
      <c r="CC15" s="3">
        <v>20</v>
      </c>
      <c r="CD15" s="16">
        <v>56.451000000000001</v>
      </c>
      <c r="CE15" s="3">
        <v>46</v>
      </c>
      <c r="CF15" s="3">
        <v>47</v>
      </c>
      <c r="CG15" s="3">
        <v>48</v>
      </c>
      <c r="CH15" s="3">
        <v>44</v>
      </c>
      <c r="CI15" s="3">
        <v>53</v>
      </c>
      <c r="CJ15" s="3">
        <v>47</v>
      </c>
      <c r="CK15" s="3">
        <v>53</v>
      </c>
      <c r="CL15" s="66">
        <v>50.07</v>
      </c>
      <c r="CM15" s="66">
        <v>56.2</v>
      </c>
      <c r="CN15" s="66">
        <v>58.24</v>
      </c>
      <c r="CO15" s="3">
        <v>33</v>
      </c>
      <c r="CP15" s="3">
        <v>29</v>
      </c>
      <c r="CQ15" s="9">
        <v>53.7</v>
      </c>
      <c r="CR15" s="3">
        <v>25</v>
      </c>
      <c r="CS15" s="3">
        <v>30</v>
      </c>
      <c r="CT15" s="3">
        <v>36</v>
      </c>
      <c r="CU15" s="3">
        <v>41</v>
      </c>
      <c r="CV15" s="3">
        <v>42</v>
      </c>
      <c r="CW15" s="3">
        <v>47</v>
      </c>
      <c r="CX15" s="3">
        <v>46</v>
      </c>
      <c r="CY15" s="3">
        <v>49</v>
      </c>
      <c r="CZ15" s="3">
        <v>55</v>
      </c>
      <c r="DA15" s="3">
        <v>57</v>
      </c>
      <c r="DB15" s="3">
        <v>51</v>
      </c>
      <c r="DC15" s="3">
        <v>58</v>
      </c>
      <c r="DD15" s="9">
        <v>24.4</v>
      </c>
      <c r="DE15" s="3">
        <v>13</v>
      </c>
      <c r="DF15" s="3">
        <v>12</v>
      </c>
      <c r="DG15" s="3">
        <v>16</v>
      </c>
      <c r="DH15" s="3">
        <v>14</v>
      </c>
      <c r="DI15" s="3">
        <v>14</v>
      </c>
      <c r="DJ15" s="3">
        <v>19</v>
      </c>
      <c r="DK15" s="3">
        <v>22</v>
      </c>
      <c r="DL15" s="3">
        <v>22</v>
      </c>
      <c r="DM15" s="3">
        <v>28</v>
      </c>
      <c r="DN15" s="3">
        <v>29</v>
      </c>
      <c r="DO15" s="3">
        <v>28</v>
      </c>
      <c r="DP15" s="20">
        <v>27</v>
      </c>
      <c r="DQ15" s="9">
        <v>13.2</v>
      </c>
      <c r="DR15" s="3">
        <v>8</v>
      </c>
      <c r="DS15" s="3">
        <v>7</v>
      </c>
      <c r="DT15" s="3">
        <v>8</v>
      </c>
      <c r="DU15" s="3">
        <v>8</v>
      </c>
      <c r="DV15" s="3">
        <v>9</v>
      </c>
      <c r="DW15" s="3">
        <v>10</v>
      </c>
      <c r="DX15" s="3">
        <v>10</v>
      </c>
      <c r="DY15" s="3">
        <v>12</v>
      </c>
      <c r="DZ15" s="3">
        <v>17</v>
      </c>
      <c r="EA15" s="3">
        <v>18</v>
      </c>
      <c r="EB15" s="3">
        <v>14</v>
      </c>
      <c r="EC15" s="3">
        <v>11</v>
      </c>
      <c r="ED15" s="9">
        <f t="shared" ref="ED15:ED35" si="12">+IFERROR((SUM(EE15:EP15)/10),0)</f>
        <v>10.5</v>
      </c>
      <c r="EE15" s="3">
        <v>4</v>
      </c>
      <c r="EF15" s="3">
        <v>8</v>
      </c>
      <c r="EG15" s="3">
        <v>7</v>
      </c>
      <c r="EH15" s="3">
        <v>6</v>
      </c>
      <c r="EI15" s="3">
        <v>8</v>
      </c>
      <c r="EJ15" s="3">
        <v>7</v>
      </c>
      <c r="EK15" s="3">
        <v>10</v>
      </c>
      <c r="EL15" s="3">
        <v>12</v>
      </c>
      <c r="EM15" s="3">
        <v>10</v>
      </c>
      <c r="EN15" s="3">
        <v>12</v>
      </c>
      <c r="EO15" s="3">
        <v>12</v>
      </c>
      <c r="EP15" s="3">
        <v>9</v>
      </c>
      <c r="EQ15" s="9">
        <f t="shared" si="11"/>
        <v>7.1</v>
      </c>
      <c r="ER15" s="3">
        <v>0</v>
      </c>
      <c r="ES15" s="3">
        <v>0</v>
      </c>
      <c r="ET15" s="3">
        <v>0</v>
      </c>
      <c r="EU15" s="3">
        <v>3</v>
      </c>
      <c r="EV15" s="3">
        <v>7</v>
      </c>
      <c r="EW15" s="3">
        <v>7</v>
      </c>
      <c r="EX15" s="3">
        <v>10</v>
      </c>
      <c r="EY15" s="3">
        <v>9</v>
      </c>
      <c r="EZ15" s="3">
        <v>11</v>
      </c>
      <c r="FA15" s="3">
        <v>9</v>
      </c>
      <c r="FB15" s="3">
        <v>9</v>
      </c>
      <c r="FC15" s="3">
        <v>6</v>
      </c>
      <c r="FD15" s="69">
        <f t="shared" si="9"/>
        <v>117.48700000000001</v>
      </c>
      <c r="FE15" s="3">
        <v>0</v>
      </c>
      <c r="FF15" s="3">
        <v>158.22999999999999</v>
      </c>
      <c r="FG15" s="3">
        <v>141.01999999999998</v>
      </c>
      <c r="FH15" s="3">
        <v>135.04000000000002</v>
      </c>
      <c r="FI15" s="3">
        <v>141.75</v>
      </c>
      <c r="FJ15" s="3">
        <v>127.2</v>
      </c>
      <c r="FK15" s="3">
        <v>113.12</v>
      </c>
      <c r="FL15" s="3">
        <v>126</v>
      </c>
      <c r="FM15" s="3">
        <v>124.83000000000001</v>
      </c>
      <c r="FN15" s="3">
        <v>107.67999999999999</v>
      </c>
      <c r="FO15" s="3">
        <v>0</v>
      </c>
      <c r="FP15" s="3">
        <v>0</v>
      </c>
      <c r="FQ15" s="102"/>
      <c r="FR15" s="102"/>
      <c r="GA15" s="34"/>
    </row>
    <row r="16" spans="1:183" x14ac:dyDescent="0.25">
      <c r="A16" s="6" t="s">
        <v>125</v>
      </c>
      <c r="B16" s="25" t="s">
        <v>122</v>
      </c>
      <c r="C16" s="1" t="s">
        <v>117</v>
      </c>
      <c r="D16" s="141">
        <f t="shared" si="6"/>
        <v>133.5</v>
      </c>
      <c r="E16" s="141">
        <v>124</v>
      </c>
      <c r="F16" s="141">
        <v>130</v>
      </c>
      <c r="G16" s="141">
        <v>140</v>
      </c>
      <c r="H16" s="141">
        <v>140</v>
      </c>
      <c r="P16" s="77"/>
      <c r="Q16" s="159">
        <f t="shared" si="10"/>
        <v>115.2</v>
      </c>
      <c r="R16" s="141">
        <v>92</v>
      </c>
      <c r="S16" s="141">
        <v>105</v>
      </c>
      <c r="T16" s="141">
        <v>121</v>
      </c>
      <c r="U16" s="141">
        <v>114</v>
      </c>
      <c r="V16" s="141">
        <v>120</v>
      </c>
      <c r="W16" s="141">
        <v>119</v>
      </c>
      <c r="X16" s="141">
        <v>123</v>
      </c>
      <c r="Y16" s="141">
        <v>123</v>
      </c>
      <c r="Z16" s="141">
        <v>114</v>
      </c>
      <c r="AA16" s="141">
        <v>107</v>
      </c>
      <c r="AB16" s="141">
        <v>7</v>
      </c>
      <c r="AC16" s="154">
        <v>7</v>
      </c>
      <c r="AD16" s="159">
        <v>104.63399999999999</v>
      </c>
      <c r="AE16" s="141">
        <v>99</v>
      </c>
      <c r="AF16" s="141">
        <v>96</v>
      </c>
      <c r="AG16" s="141">
        <v>106.66999999999999</v>
      </c>
      <c r="AH16" s="141">
        <v>103.66999999999999</v>
      </c>
      <c r="AI16" s="141">
        <v>94</v>
      </c>
      <c r="AJ16" s="141">
        <v>104</v>
      </c>
      <c r="AK16" s="141">
        <v>111</v>
      </c>
      <c r="AL16" s="141">
        <v>112</v>
      </c>
      <c r="AM16" s="141">
        <v>115</v>
      </c>
      <c r="AN16" s="141">
        <v>97</v>
      </c>
      <c r="AO16" s="141">
        <v>4</v>
      </c>
      <c r="AP16" s="154">
        <v>4</v>
      </c>
      <c r="AQ16" s="9">
        <f t="shared" si="8"/>
        <v>101.3</v>
      </c>
      <c r="AR16" s="3">
        <v>85</v>
      </c>
      <c r="AS16" s="3">
        <v>88</v>
      </c>
      <c r="AT16" s="3">
        <v>107</v>
      </c>
      <c r="AU16" s="3">
        <v>97</v>
      </c>
      <c r="AV16" s="3">
        <v>87</v>
      </c>
      <c r="AW16" s="3">
        <v>106</v>
      </c>
      <c r="AX16" s="3">
        <v>106</v>
      </c>
      <c r="AY16" s="3">
        <v>106</v>
      </c>
      <c r="AZ16" s="3">
        <v>104</v>
      </c>
      <c r="BA16" s="3">
        <v>96</v>
      </c>
      <c r="BB16" s="3">
        <v>14</v>
      </c>
      <c r="BC16" s="20">
        <v>17</v>
      </c>
      <c r="BD16" s="117">
        <v>77.138999999999996</v>
      </c>
      <c r="BE16" s="3">
        <v>68</v>
      </c>
      <c r="BF16" s="3">
        <v>71</v>
      </c>
      <c r="BG16" s="3">
        <v>76</v>
      </c>
      <c r="BH16" s="3">
        <v>75</v>
      </c>
      <c r="BI16" s="3">
        <v>74</v>
      </c>
      <c r="BJ16" s="3">
        <v>77</v>
      </c>
      <c r="BK16" s="3">
        <v>84</v>
      </c>
      <c r="BL16" s="3">
        <v>77</v>
      </c>
      <c r="BM16" s="3">
        <v>78</v>
      </c>
      <c r="BN16" s="3">
        <v>74</v>
      </c>
      <c r="BO16" s="3">
        <v>11.35</v>
      </c>
      <c r="BP16" s="20">
        <v>6.04</v>
      </c>
      <c r="BQ16" s="65">
        <v>82.1</v>
      </c>
      <c r="BR16" s="3">
        <v>67</v>
      </c>
      <c r="BS16" s="3">
        <v>69</v>
      </c>
      <c r="BT16" s="3">
        <v>72</v>
      </c>
      <c r="BU16" s="3">
        <v>74</v>
      </c>
      <c r="BV16" s="3">
        <v>84</v>
      </c>
      <c r="BW16" s="3">
        <v>92</v>
      </c>
      <c r="BX16" s="3">
        <v>93</v>
      </c>
      <c r="BY16" s="3">
        <v>86</v>
      </c>
      <c r="BZ16" s="3">
        <v>93</v>
      </c>
      <c r="CA16" s="3">
        <v>84</v>
      </c>
      <c r="CB16" s="3">
        <v>1</v>
      </c>
      <c r="CC16" s="3">
        <v>6</v>
      </c>
      <c r="CD16" s="16">
        <v>109.60599999999999</v>
      </c>
      <c r="CE16" s="3">
        <v>89</v>
      </c>
      <c r="CF16" s="3">
        <v>91</v>
      </c>
      <c r="CG16" s="3">
        <v>109</v>
      </c>
      <c r="CH16" s="3">
        <v>106</v>
      </c>
      <c r="CI16" s="3">
        <v>96</v>
      </c>
      <c r="CJ16" s="3">
        <v>112</v>
      </c>
      <c r="CK16" s="3">
        <v>108</v>
      </c>
      <c r="CL16" s="66">
        <v>116.14</v>
      </c>
      <c r="CM16" s="66">
        <v>130.07999999999998</v>
      </c>
      <c r="CN16" s="66">
        <v>128.84</v>
      </c>
      <c r="CO16" s="3">
        <v>9</v>
      </c>
      <c r="CP16" s="3">
        <v>1</v>
      </c>
      <c r="CQ16" s="9">
        <v>89.486000000000004</v>
      </c>
      <c r="CR16" s="3">
        <v>84</v>
      </c>
      <c r="CS16" s="3">
        <v>85</v>
      </c>
      <c r="CT16" s="3">
        <v>97</v>
      </c>
      <c r="CU16" s="3">
        <v>85.86</v>
      </c>
      <c r="CV16" s="3">
        <v>84</v>
      </c>
      <c r="CW16" s="3">
        <v>88</v>
      </c>
      <c r="CX16" s="3">
        <v>83</v>
      </c>
      <c r="CY16" s="3">
        <v>86</v>
      </c>
      <c r="CZ16" s="3">
        <v>96</v>
      </c>
      <c r="DA16" s="3">
        <v>95</v>
      </c>
      <c r="DB16" s="3">
        <v>7</v>
      </c>
      <c r="DC16" s="3">
        <v>4</v>
      </c>
      <c r="DD16" s="9">
        <v>84.344999999999999</v>
      </c>
      <c r="DE16" s="3">
        <v>83.850000000000009</v>
      </c>
      <c r="DF16" s="3">
        <v>33.85</v>
      </c>
      <c r="DG16" s="3">
        <v>82.85</v>
      </c>
      <c r="DH16" s="3">
        <v>84</v>
      </c>
      <c r="DI16" s="3">
        <v>77</v>
      </c>
      <c r="DJ16" s="3">
        <v>97</v>
      </c>
      <c r="DK16" s="3">
        <v>97</v>
      </c>
      <c r="DL16" s="3">
        <v>93</v>
      </c>
      <c r="DM16" s="3">
        <v>90</v>
      </c>
      <c r="DN16" s="3">
        <v>88</v>
      </c>
      <c r="DO16" s="3">
        <v>10.9</v>
      </c>
      <c r="DP16" s="20">
        <v>6</v>
      </c>
      <c r="DQ16" s="9">
        <v>77.905999999999992</v>
      </c>
      <c r="DR16" s="3">
        <v>60.94</v>
      </c>
      <c r="DS16" s="3">
        <v>73.88</v>
      </c>
      <c r="DT16" s="3">
        <v>75.88</v>
      </c>
      <c r="DU16" s="3">
        <v>78.88</v>
      </c>
      <c r="DV16" s="3">
        <v>75.94</v>
      </c>
      <c r="DW16" s="3">
        <v>84.94</v>
      </c>
      <c r="DX16" s="3">
        <v>82.86</v>
      </c>
      <c r="DY16" s="3">
        <v>80.86</v>
      </c>
      <c r="DZ16" s="3">
        <v>80.94</v>
      </c>
      <c r="EA16" s="3">
        <v>76.94</v>
      </c>
      <c r="EB16" s="3">
        <v>7</v>
      </c>
      <c r="EC16" s="3">
        <v>0</v>
      </c>
      <c r="ED16" s="9">
        <f t="shared" si="12"/>
        <v>50.067</v>
      </c>
      <c r="EE16" s="3">
        <v>33</v>
      </c>
      <c r="EF16" s="3">
        <v>38</v>
      </c>
      <c r="EG16" s="3">
        <v>52</v>
      </c>
      <c r="EH16" s="3">
        <v>51</v>
      </c>
      <c r="EI16" s="3">
        <v>53.06</v>
      </c>
      <c r="EJ16" s="3">
        <v>52.06</v>
      </c>
      <c r="EK16" s="3">
        <v>52.06</v>
      </c>
      <c r="EL16" s="3">
        <v>56.39</v>
      </c>
      <c r="EM16" s="3">
        <v>55.06</v>
      </c>
      <c r="EN16" s="3">
        <v>44.06</v>
      </c>
      <c r="EO16" s="3">
        <v>7.98</v>
      </c>
      <c r="EP16" s="3">
        <v>6</v>
      </c>
      <c r="EQ16" s="9">
        <f t="shared" si="11"/>
        <v>36.92</v>
      </c>
      <c r="ER16" s="3">
        <v>20</v>
      </c>
      <c r="ES16" s="3">
        <v>18</v>
      </c>
      <c r="ET16" s="3">
        <v>20</v>
      </c>
      <c r="EU16" s="3">
        <v>18</v>
      </c>
      <c r="EV16" s="3">
        <v>21</v>
      </c>
      <c r="EW16" s="3">
        <v>22</v>
      </c>
      <c r="EX16" s="3">
        <v>34</v>
      </c>
      <c r="EY16" s="3">
        <v>42</v>
      </c>
      <c r="EZ16" s="3">
        <v>53</v>
      </c>
      <c r="FA16" s="3">
        <v>53</v>
      </c>
      <c r="FB16" s="3">
        <v>42</v>
      </c>
      <c r="FC16" s="3">
        <v>26.2</v>
      </c>
      <c r="FD16" s="69">
        <f t="shared" si="9"/>
        <v>17.145</v>
      </c>
      <c r="FE16" s="34"/>
      <c r="FF16" s="34"/>
      <c r="FG16" s="34"/>
      <c r="FH16" s="34"/>
      <c r="FI16" s="34"/>
      <c r="FJ16" s="34"/>
      <c r="FK16" s="3">
        <v>16</v>
      </c>
      <c r="FL16" s="3">
        <v>29</v>
      </c>
      <c r="FM16" s="3">
        <v>41</v>
      </c>
      <c r="FN16" s="3">
        <v>34</v>
      </c>
      <c r="FO16" s="3">
        <v>29</v>
      </c>
      <c r="FP16" s="3">
        <v>22.45</v>
      </c>
      <c r="FQ16" s="102"/>
      <c r="FR16" s="102"/>
      <c r="GA16" s="34"/>
    </row>
    <row r="17" spans="1:183" x14ac:dyDescent="0.25">
      <c r="A17" s="6" t="s">
        <v>145</v>
      </c>
      <c r="B17" s="25" t="s">
        <v>137</v>
      </c>
      <c r="C17" s="1" t="s">
        <v>131</v>
      </c>
      <c r="D17" s="141">
        <f t="shared" si="6"/>
        <v>344.4</v>
      </c>
      <c r="E17" s="141">
        <v>59</v>
      </c>
      <c r="F17" s="141">
        <v>431.2</v>
      </c>
      <c r="G17" s="141">
        <v>444.2</v>
      </c>
      <c r="H17" s="141">
        <v>443.2</v>
      </c>
      <c r="P17" s="77"/>
      <c r="Q17" s="159">
        <f t="shared" si="10"/>
        <v>457.7</v>
      </c>
      <c r="R17" s="141">
        <v>50</v>
      </c>
      <c r="S17" s="141">
        <v>424</v>
      </c>
      <c r="T17" s="141">
        <v>461</v>
      </c>
      <c r="U17" s="141">
        <v>451</v>
      </c>
      <c r="V17" s="141">
        <v>440</v>
      </c>
      <c r="W17" s="141">
        <v>446</v>
      </c>
      <c r="X17" s="141">
        <v>474</v>
      </c>
      <c r="Y17" s="141">
        <v>479</v>
      </c>
      <c r="Z17" s="141">
        <v>434</v>
      </c>
      <c r="AA17" s="141">
        <v>428</v>
      </c>
      <c r="AB17" s="141">
        <v>383</v>
      </c>
      <c r="AC17" s="154">
        <v>107</v>
      </c>
      <c r="AD17" s="159">
        <v>438.8</v>
      </c>
      <c r="AE17" s="141">
        <v>74</v>
      </c>
      <c r="AF17" s="141">
        <v>392</v>
      </c>
      <c r="AG17" s="141">
        <v>425</v>
      </c>
      <c r="AH17" s="141">
        <v>405</v>
      </c>
      <c r="AI17" s="141">
        <v>426</v>
      </c>
      <c r="AJ17" s="141">
        <v>454</v>
      </c>
      <c r="AK17" s="141">
        <v>463</v>
      </c>
      <c r="AL17" s="141">
        <v>465</v>
      </c>
      <c r="AM17" s="141">
        <v>455</v>
      </c>
      <c r="AN17" s="141">
        <v>440</v>
      </c>
      <c r="AO17" s="141">
        <v>292</v>
      </c>
      <c r="AP17" s="154">
        <v>97</v>
      </c>
      <c r="AQ17" s="9">
        <f t="shared" si="8"/>
        <v>371.8</v>
      </c>
      <c r="AR17" s="3">
        <v>52</v>
      </c>
      <c r="AS17" s="3">
        <v>341</v>
      </c>
      <c r="AT17" s="3">
        <v>365</v>
      </c>
      <c r="AU17" s="3">
        <v>360</v>
      </c>
      <c r="AV17" s="3">
        <v>349</v>
      </c>
      <c r="AW17" s="3">
        <v>348</v>
      </c>
      <c r="AX17" s="3">
        <v>367</v>
      </c>
      <c r="AY17" s="3">
        <v>392</v>
      </c>
      <c r="AZ17" s="3">
        <v>382</v>
      </c>
      <c r="BA17" s="3">
        <v>375</v>
      </c>
      <c r="BB17" s="3">
        <v>270</v>
      </c>
      <c r="BC17" s="20">
        <v>117</v>
      </c>
      <c r="BD17" s="117">
        <v>307.10000000000002</v>
      </c>
      <c r="BE17" s="3">
        <v>88</v>
      </c>
      <c r="BF17" s="3">
        <v>271</v>
      </c>
      <c r="BG17" s="3">
        <v>286</v>
      </c>
      <c r="BH17" s="3">
        <v>265</v>
      </c>
      <c r="BI17" s="3">
        <v>248</v>
      </c>
      <c r="BJ17" s="3">
        <v>291</v>
      </c>
      <c r="BK17" s="3">
        <v>312</v>
      </c>
      <c r="BL17" s="3">
        <v>322</v>
      </c>
      <c r="BM17" s="3">
        <v>337</v>
      </c>
      <c r="BN17" s="3">
        <v>341</v>
      </c>
      <c r="BO17" s="3">
        <v>222</v>
      </c>
      <c r="BP17" s="20">
        <v>88</v>
      </c>
      <c r="BQ17" s="65">
        <v>237.5</v>
      </c>
      <c r="BR17" s="3">
        <v>165</v>
      </c>
      <c r="BS17" s="3">
        <v>168</v>
      </c>
      <c r="BT17" s="3">
        <v>195</v>
      </c>
      <c r="BU17" s="3">
        <v>168</v>
      </c>
      <c r="BV17" s="3">
        <v>201</v>
      </c>
      <c r="BW17" s="3">
        <v>219</v>
      </c>
      <c r="BX17" s="3">
        <v>232</v>
      </c>
      <c r="BY17" s="3">
        <v>235</v>
      </c>
      <c r="BZ17" s="3">
        <v>233</v>
      </c>
      <c r="CA17" s="3">
        <v>238</v>
      </c>
      <c r="CB17" s="3">
        <v>174</v>
      </c>
      <c r="CC17" s="3">
        <v>147</v>
      </c>
      <c r="CD17" s="16">
        <v>237.49200000000002</v>
      </c>
      <c r="CE17" s="3">
        <v>188</v>
      </c>
      <c r="CF17" s="3">
        <v>223</v>
      </c>
      <c r="CG17" s="3">
        <v>247</v>
      </c>
      <c r="CH17" s="3">
        <v>220</v>
      </c>
      <c r="CI17" s="3">
        <v>203</v>
      </c>
      <c r="CJ17" s="3">
        <v>215</v>
      </c>
      <c r="CK17" s="3">
        <v>221</v>
      </c>
      <c r="CL17" s="66">
        <v>231.67</v>
      </c>
      <c r="CM17" s="66">
        <v>223.77</v>
      </c>
      <c r="CN17" s="66">
        <v>211.48</v>
      </c>
      <c r="CO17" s="3">
        <v>141</v>
      </c>
      <c r="CP17" s="3">
        <v>50</v>
      </c>
      <c r="CQ17" s="9">
        <v>255.3</v>
      </c>
      <c r="CR17" s="3">
        <v>215</v>
      </c>
      <c r="CS17" s="3">
        <v>212</v>
      </c>
      <c r="CT17" s="3">
        <v>214</v>
      </c>
      <c r="CU17" s="3">
        <v>203</v>
      </c>
      <c r="CV17" s="3">
        <v>209</v>
      </c>
      <c r="CW17" s="3">
        <v>238</v>
      </c>
      <c r="CX17" s="3">
        <v>245</v>
      </c>
      <c r="CY17" s="3">
        <v>264</v>
      </c>
      <c r="CZ17" s="3">
        <v>255</v>
      </c>
      <c r="DA17" s="3">
        <v>241</v>
      </c>
      <c r="DB17" s="3">
        <v>189</v>
      </c>
      <c r="DC17" s="3">
        <v>68</v>
      </c>
      <c r="DD17" s="9">
        <v>228.8</v>
      </c>
      <c r="DE17" s="3">
        <v>149</v>
      </c>
      <c r="DF17" s="3">
        <v>193</v>
      </c>
      <c r="DG17" s="3">
        <v>211</v>
      </c>
      <c r="DH17" s="3">
        <v>215</v>
      </c>
      <c r="DI17" s="3">
        <v>203</v>
      </c>
      <c r="DJ17" s="3">
        <v>208</v>
      </c>
      <c r="DK17" s="3">
        <v>211</v>
      </c>
      <c r="DL17" s="3">
        <v>226</v>
      </c>
      <c r="DM17" s="3">
        <v>221</v>
      </c>
      <c r="DN17" s="3">
        <v>223</v>
      </c>
      <c r="DO17" s="3">
        <v>172</v>
      </c>
      <c r="DP17" s="20">
        <v>56</v>
      </c>
      <c r="DQ17" s="9">
        <v>214.9</v>
      </c>
      <c r="DR17" s="3">
        <v>191</v>
      </c>
      <c r="DS17" s="3">
        <v>228</v>
      </c>
      <c r="DT17" s="3">
        <v>226</v>
      </c>
      <c r="DU17" s="3">
        <v>216</v>
      </c>
      <c r="DV17" s="3">
        <v>186</v>
      </c>
      <c r="DW17" s="3">
        <v>181</v>
      </c>
      <c r="DX17" s="3">
        <v>186</v>
      </c>
      <c r="DY17" s="3">
        <v>183</v>
      </c>
      <c r="DZ17" s="3">
        <v>187</v>
      </c>
      <c r="EA17" s="3">
        <v>193</v>
      </c>
      <c r="EB17" s="3">
        <v>103</v>
      </c>
      <c r="EC17" s="3">
        <v>69</v>
      </c>
      <c r="ED17" s="9">
        <f t="shared" si="12"/>
        <v>156.1</v>
      </c>
      <c r="EE17" s="3">
        <v>133</v>
      </c>
      <c r="EF17" s="3">
        <v>140</v>
      </c>
      <c r="EG17" s="3">
        <v>149</v>
      </c>
      <c r="EH17" s="3">
        <v>129</v>
      </c>
      <c r="EI17" s="3">
        <v>129</v>
      </c>
      <c r="EJ17" s="3">
        <v>141</v>
      </c>
      <c r="EK17" s="3">
        <v>180</v>
      </c>
      <c r="EL17" s="3">
        <v>201</v>
      </c>
      <c r="EM17" s="3">
        <v>184</v>
      </c>
      <c r="EN17" s="3">
        <v>175</v>
      </c>
      <c r="EO17" s="3">
        <v>0</v>
      </c>
      <c r="EP17" s="3">
        <v>0</v>
      </c>
      <c r="EQ17" s="9">
        <f t="shared" si="11"/>
        <v>134</v>
      </c>
      <c r="ER17" s="3">
        <v>77</v>
      </c>
      <c r="ES17" s="3">
        <v>99</v>
      </c>
      <c r="ET17" s="3">
        <v>128</v>
      </c>
      <c r="EU17" s="3">
        <v>138</v>
      </c>
      <c r="EV17" s="3">
        <v>134</v>
      </c>
      <c r="EW17" s="3">
        <v>126</v>
      </c>
      <c r="EX17" s="3">
        <v>129</v>
      </c>
      <c r="EY17" s="3">
        <v>138</v>
      </c>
      <c r="EZ17" s="3">
        <v>136</v>
      </c>
      <c r="FA17" s="3">
        <v>125</v>
      </c>
      <c r="FB17" s="3">
        <v>78</v>
      </c>
      <c r="FC17" s="3">
        <v>32</v>
      </c>
      <c r="FD17" s="69">
        <f t="shared" si="9"/>
        <v>5.2</v>
      </c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">
        <v>52</v>
      </c>
      <c r="FQ17" s="102"/>
      <c r="FR17" s="102"/>
      <c r="GA17" s="34"/>
    </row>
    <row r="18" spans="1:183" x14ac:dyDescent="0.25">
      <c r="A18" s="6" t="s">
        <v>204</v>
      </c>
      <c r="B18" s="25" t="s">
        <v>206</v>
      </c>
      <c r="C18" s="1" t="s">
        <v>203</v>
      </c>
      <c r="D18" s="141">
        <f t="shared" si="6"/>
        <v>19</v>
      </c>
      <c r="E18" s="141">
        <v>0</v>
      </c>
      <c r="F18" s="141">
        <v>23</v>
      </c>
      <c r="G18" s="141">
        <v>26</v>
      </c>
      <c r="H18" s="141">
        <v>27</v>
      </c>
      <c r="P18" s="77"/>
      <c r="Q18" s="159">
        <f t="shared" si="10"/>
        <v>15.1</v>
      </c>
      <c r="R18" s="141">
        <v>10</v>
      </c>
      <c r="S18" s="141">
        <v>13</v>
      </c>
      <c r="T18" s="141">
        <v>15</v>
      </c>
      <c r="U18" s="141">
        <v>14</v>
      </c>
      <c r="V18" s="141">
        <v>15</v>
      </c>
      <c r="W18" s="141">
        <v>17</v>
      </c>
      <c r="X18" s="141">
        <v>16</v>
      </c>
      <c r="Y18" s="141">
        <v>16</v>
      </c>
      <c r="Z18" s="141">
        <v>17</v>
      </c>
      <c r="AA18" s="141">
        <v>18</v>
      </c>
      <c r="AB18" s="141">
        <v>0</v>
      </c>
      <c r="AC18" s="154">
        <v>0</v>
      </c>
      <c r="AD18" s="159">
        <v>14.4</v>
      </c>
      <c r="AE18" s="141">
        <v>12</v>
      </c>
      <c r="AF18" s="141">
        <v>13</v>
      </c>
      <c r="AG18" s="141">
        <v>19</v>
      </c>
      <c r="AH18" s="141">
        <v>18</v>
      </c>
      <c r="AI18" s="141">
        <v>15</v>
      </c>
      <c r="AJ18" s="141">
        <v>14</v>
      </c>
      <c r="AK18" s="141">
        <v>15</v>
      </c>
      <c r="AL18" s="141">
        <v>14</v>
      </c>
      <c r="AM18" s="141">
        <v>13</v>
      </c>
      <c r="AN18" s="141">
        <v>11</v>
      </c>
      <c r="AO18" s="141">
        <v>0</v>
      </c>
      <c r="AP18" s="154">
        <v>0</v>
      </c>
      <c r="AQ18" s="9">
        <f t="shared" si="8"/>
        <v>9.6</v>
      </c>
      <c r="AR18" s="3">
        <v>13</v>
      </c>
      <c r="AS18" s="3">
        <v>12</v>
      </c>
      <c r="AT18" s="3">
        <v>13</v>
      </c>
      <c r="AU18" s="3">
        <v>7</v>
      </c>
      <c r="AV18" s="3">
        <v>8</v>
      </c>
      <c r="AW18" s="3">
        <v>7</v>
      </c>
      <c r="AX18" s="3">
        <v>9</v>
      </c>
      <c r="AY18" s="3">
        <v>8</v>
      </c>
      <c r="AZ18" s="3">
        <v>8</v>
      </c>
      <c r="BA18" s="3">
        <v>11</v>
      </c>
      <c r="BB18" s="3">
        <v>0</v>
      </c>
      <c r="BC18" s="20">
        <v>0</v>
      </c>
      <c r="BD18" s="117">
        <v>15</v>
      </c>
      <c r="BE18" s="3">
        <v>13</v>
      </c>
      <c r="BF18" s="3">
        <v>14</v>
      </c>
      <c r="BG18" s="3">
        <v>15</v>
      </c>
      <c r="BH18" s="3">
        <v>15</v>
      </c>
      <c r="BI18" s="3">
        <v>17</v>
      </c>
      <c r="BJ18" s="3">
        <v>19</v>
      </c>
      <c r="BK18" s="3">
        <v>17</v>
      </c>
      <c r="BL18" s="3">
        <v>12</v>
      </c>
      <c r="BM18" s="3">
        <v>13</v>
      </c>
      <c r="BN18" s="3">
        <v>15</v>
      </c>
      <c r="BO18" s="3">
        <v>0</v>
      </c>
      <c r="BP18" s="20">
        <v>0</v>
      </c>
      <c r="BQ18" s="65">
        <v>11.3</v>
      </c>
      <c r="BR18" s="3">
        <v>13</v>
      </c>
      <c r="BS18" s="3">
        <v>13</v>
      </c>
      <c r="BT18" s="3">
        <v>14</v>
      </c>
      <c r="BU18" s="3">
        <v>10</v>
      </c>
      <c r="BV18" s="3">
        <v>9</v>
      </c>
      <c r="BW18" s="3">
        <v>9</v>
      </c>
      <c r="BX18" s="3">
        <v>9</v>
      </c>
      <c r="BY18" s="3">
        <v>12</v>
      </c>
      <c r="BZ18" s="3">
        <v>13</v>
      </c>
      <c r="CA18" s="3">
        <v>11</v>
      </c>
      <c r="CB18" s="3">
        <v>0</v>
      </c>
      <c r="CC18" s="3">
        <v>0</v>
      </c>
      <c r="CD18" s="16">
        <v>11.051000000000002</v>
      </c>
      <c r="CE18" s="3">
        <v>5</v>
      </c>
      <c r="CF18" s="3">
        <v>8</v>
      </c>
      <c r="CG18" s="3">
        <v>10</v>
      </c>
      <c r="CH18" s="3">
        <v>8</v>
      </c>
      <c r="CI18" s="3">
        <v>9</v>
      </c>
      <c r="CJ18" s="3">
        <v>12</v>
      </c>
      <c r="CK18" s="3">
        <v>10</v>
      </c>
      <c r="CL18" s="66">
        <v>17.21</v>
      </c>
      <c r="CM18" s="66">
        <v>15.65</v>
      </c>
      <c r="CN18" s="66">
        <v>15.65</v>
      </c>
      <c r="CO18" s="3">
        <v>0</v>
      </c>
      <c r="CP18" s="3">
        <v>0</v>
      </c>
      <c r="CQ18" s="9">
        <v>9.8000000000000007</v>
      </c>
      <c r="CR18" s="3">
        <v>9</v>
      </c>
      <c r="CS18" s="3">
        <v>10</v>
      </c>
      <c r="CT18" s="3">
        <v>12</v>
      </c>
      <c r="CU18" s="3">
        <v>10</v>
      </c>
      <c r="CV18" s="3">
        <v>8</v>
      </c>
      <c r="CW18" s="3">
        <v>10</v>
      </c>
      <c r="CX18" s="3">
        <v>8</v>
      </c>
      <c r="CY18" s="3">
        <v>11</v>
      </c>
      <c r="CZ18" s="3">
        <v>10</v>
      </c>
      <c r="DA18" s="3">
        <v>10</v>
      </c>
      <c r="DB18" s="3">
        <v>0</v>
      </c>
      <c r="DC18" s="3">
        <v>0</v>
      </c>
      <c r="DD18" s="9">
        <v>9.9</v>
      </c>
      <c r="DE18" s="3">
        <v>18</v>
      </c>
      <c r="DF18" s="3">
        <v>5</v>
      </c>
      <c r="DG18" s="3">
        <v>17</v>
      </c>
      <c r="DH18" s="3">
        <v>14</v>
      </c>
      <c r="DI18" s="3">
        <v>8</v>
      </c>
      <c r="DJ18" s="3">
        <v>9</v>
      </c>
      <c r="DK18" s="3">
        <v>7</v>
      </c>
      <c r="DL18" s="3">
        <v>7</v>
      </c>
      <c r="DM18" s="3">
        <v>7</v>
      </c>
      <c r="DN18" s="3">
        <v>7</v>
      </c>
      <c r="DO18" s="3">
        <v>0</v>
      </c>
      <c r="DP18" s="20">
        <v>0</v>
      </c>
      <c r="DQ18" s="9">
        <v>17.600000000000001</v>
      </c>
      <c r="DR18" s="3">
        <v>15</v>
      </c>
      <c r="DS18" s="3">
        <v>16</v>
      </c>
      <c r="DT18" s="3">
        <v>16</v>
      </c>
      <c r="DU18" s="3">
        <v>17</v>
      </c>
      <c r="DV18" s="3">
        <v>17</v>
      </c>
      <c r="DW18" s="3">
        <v>20</v>
      </c>
      <c r="DX18" s="3">
        <v>18</v>
      </c>
      <c r="DY18" s="3">
        <v>20</v>
      </c>
      <c r="DZ18" s="3">
        <v>20</v>
      </c>
      <c r="EA18" s="3">
        <v>17</v>
      </c>
      <c r="EB18" s="3">
        <v>0</v>
      </c>
      <c r="EC18" s="3">
        <v>0</v>
      </c>
      <c r="ED18" s="9">
        <f t="shared" si="12"/>
        <v>10.199999999999999</v>
      </c>
      <c r="EE18" s="3"/>
      <c r="EF18" s="3">
        <v>2</v>
      </c>
      <c r="EG18" s="3">
        <v>7</v>
      </c>
      <c r="EH18" s="3">
        <v>10</v>
      </c>
      <c r="EI18" s="3">
        <v>10</v>
      </c>
      <c r="EJ18" s="3">
        <v>13</v>
      </c>
      <c r="EK18" s="3">
        <v>15</v>
      </c>
      <c r="EL18" s="3">
        <v>17</v>
      </c>
      <c r="EM18" s="3">
        <v>15</v>
      </c>
      <c r="EN18" s="3">
        <v>13</v>
      </c>
      <c r="EO18" s="3">
        <v>0</v>
      </c>
      <c r="EP18" s="3">
        <v>0</v>
      </c>
      <c r="EQ18" s="89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97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"/>
      <c r="FQ18" s="102"/>
      <c r="FR18" s="102"/>
      <c r="GA18" s="34"/>
    </row>
    <row r="19" spans="1:183" x14ac:dyDescent="0.25">
      <c r="A19" s="6" t="s">
        <v>176</v>
      </c>
      <c r="B19" s="25" t="s">
        <v>191</v>
      </c>
      <c r="C19" s="1" t="s">
        <v>182</v>
      </c>
      <c r="D19" s="141">
        <f t="shared" si="6"/>
        <v>7.5</v>
      </c>
      <c r="E19" s="141">
        <v>0</v>
      </c>
      <c r="F19" s="141">
        <v>3</v>
      </c>
      <c r="G19" s="141">
        <v>12</v>
      </c>
      <c r="H19" s="141">
        <v>15</v>
      </c>
      <c r="P19" s="77"/>
      <c r="Q19" s="159">
        <f t="shared" si="10"/>
        <v>0</v>
      </c>
      <c r="R19" s="141">
        <v>0</v>
      </c>
      <c r="S19" s="141">
        <v>0</v>
      </c>
      <c r="T19" s="141">
        <v>0</v>
      </c>
      <c r="U19" s="141">
        <v>0</v>
      </c>
      <c r="V19" s="141">
        <v>0</v>
      </c>
      <c r="W19" s="141">
        <v>0</v>
      </c>
      <c r="X19" s="141">
        <v>0</v>
      </c>
      <c r="Y19" s="141">
        <v>0</v>
      </c>
      <c r="Z19" s="141">
        <v>0</v>
      </c>
      <c r="AA19" s="141">
        <v>0</v>
      </c>
      <c r="AB19" s="141">
        <v>0</v>
      </c>
      <c r="AC19" s="154">
        <v>0</v>
      </c>
      <c r="AD19" s="159">
        <v>0</v>
      </c>
      <c r="AE19" s="141">
        <v>0</v>
      </c>
      <c r="AF19" s="141">
        <v>0</v>
      </c>
      <c r="AG19" s="141">
        <v>0</v>
      </c>
      <c r="AH19" s="141">
        <v>0</v>
      </c>
      <c r="AI19" s="141">
        <v>0</v>
      </c>
      <c r="AJ19" s="141">
        <v>0</v>
      </c>
      <c r="AK19" s="141">
        <v>0</v>
      </c>
      <c r="AL19" s="141">
        <v>0</v>
      </c>
      <c r="AM19" s="141">
        <v>0</v>
      </c>
      <c r="AN19" s="141">
        <v>0</v>
      </c>
      <c r="AO19" s="141">
        <v>0</v>
      </c>
      <c r="AP19" s="154">
        <v>0</v>
      </c>
      <c r="AQ19" s="9">
        <f t="shared" si="8"/>
        <v>48.695</v>
      </c>
      <c r="AR19" s="3">
        <v>22.65</v>
      </c>
      <c r="AS19" s="3">
        <v>26.65</v>
      </c>
      <c r="AT19" s="3">
        <v>40.65</v>
      </c>
      <c r="AU19" s="3">
        <v>44</v>
      </c>
      <c r="AV19" s="3">
        <v>46</v>
      </c>
      <c r="AW19" s="3">
        <v>45</v>
      </c>
      <c r="AX19" s="3">
        <v>46</v>
      </c>
      <c r="AY19" s="3">
        <v>51</v>
      </c>
      <c r="AZ19" s="3">
        <v>50</v>
      </c>
      <c r="BA19" s="3">
        <v>48</v>
      </c>
      <c r="BB19" s="3">
        <v>38</v>
      </c>
      <c r="BC19" s="20">
        <v>29</v>
      </c>
      <c r="BD19" s="117">
        <v>41.445999999999998</v>
      </c>
      <c r="BE19" s="3">
        <v>10</v>
      </c>
      <c r="BF19" s="3">
        <v>28</v>
      </c>
      <c r="BG19" s="3">
        <v>41</v>
      </c>
      <c r="BH19" s="3">
        <v>43</v>
      </c>
      <c r="BI19" s="3">
        <v>34</v>
      </c>
      <c r="BJ19" s="3">
        <v>42</v>
      </c>
      <c r="BK19" s="3">
        <v>51</v>
      </c>
      <c r="BL19" s="3">
        <v>50.4</v>
      </c>
      <c r="BM19" s="3">
        <v>47</v>
      </c>
      <c r="BN19" s="3">
        <v>47.06</v>
      </c>
      <c r="BO19" s="3">
        <v>10</v>
      </c>
      <c r="BP19" s="20">
        <v>11</v>
      </c>
      <c r="BQ19" s="65">
        <v>23.863999999999994</v>
      </c>
      <c r="BR19" s="3">
        <v>21</v>
      </c>
      <c r="BS19" s="3">
        <v>22</v>
      </c>
      <c r="BT19" s="3">
        <v>22.83</v>
      </c>
      <c r="BU19" s="3">
        <v>16.829999999999998</v>
      </c>
      <c r="BV19" s="3">
        <v>17.829999999999998</v>
      </c>
      <c r="BW19" s="3">
        <v>20.83</v>
      </c>
      <c r="BX19" s="3">
        <v>26.83</v>
      </c>
      <c r="BY19" s="3">
        <v>24.83</v>
      </c>
      <c r="BZ19" s="3">
        <v>22.83</v>
      </c>
      <c r="CA19" s="3">
        <v>24.83</v>
      </c>
      <c r="CB19" s="3">
        <v>2</v>
      </c>
      <c r="CC19" s="3">
        <v>16</v>
      </c>
      <c r="CD19" s="16">
        <v>46.048000000000002</v>
      </c>
      <c r="CE19" s="3">
        <v>40</v>
      </c>
      <c r="CF19" s="3">
        <v>52</v>
      </c>
      <c r="CG19" s="3">
        <v>55</v>
      </c>
      <c r="CH19" s="3">
        <v>44</v>
      </c>
      <c r="CI19" s="3">
        <v>44</v>
      </c>
      <c r="CJ19" s="3">
        <v>39</v>
      </c>
      <c r="CK19" s="3">
        <v>41</v>
      </c>
      <c r="CL19" s="66">
        <v>51.73</v>
      </c>
      <c r="CM19" s="66">
        <v>46.16</v>
      </c>
      <c r="CN19" s="66">
        <v>40.590000000000003</v>
      </c>
      <c r="CO19" s="3">
        <v>0</v>
      </c>
      <c r="CP19" s="3">
        <v>7</v>
      </c>
      <c r="CQ19" s="9">
        <v>50.2</v>
      </c>
      <c r="CR19" s="3">
        <v>33</v>
      </c>
      <c r="CS19" s="3">
        <v>50</v>
      </c>
      <c r="CT19" s="3">
        <v>48</v>
      </c>
      <c r="CU19" s="3">
        <v>40</v>
      </c>
      <c r="CV19" s="3">
        <v>28</v>
      </c>
      <c r="CW19" s="3">
        <v>39</v>
      </c>
      <c r="CX19" s="3">
        <v>49</v>
      </c>
      <c r="CY19" s="3">
        <v>65</v>
      </c>
      <c r="CZ19" s="3">
        <v>58</v>
      </c>
      <c r="DA19" s="3">
        <v>51</v>
      </c>
      <c r="DB19" s="3">
        <v>0</v>
      </c>
      <c r="DC19" s="3">
        <v>41</v>
      </c>
      <c r="DD19" s="9">
        <v>42</v>
      </c>
      <c r="DE19" s="3">
        <v>21</v>
      </c>
      <c r="DF19" s="3">
        <v>35</v>
      </c>
      <c r="DG19" s="3">
        <v>44</v>
      </c>
      <c r="DH19" s="3">
        <v>48</v>
      </c>
      <c r="DI19" s="3">
        <v>42</v>
      </c>
      <c r="DJ19" s="3">
        <v>53</v>
      </c>
      <c r="DK19" s="3">
        <v>49</v>
      </c>
      <c r="DL19" s="3">
        <v>52</v>
      </c>
      <c r="DM19" s="3">
        <v>37</v>
      </c>
      <c r="DN19" s="3">
        <v>39</v>
      </c>
      <c r="DO19" s="3">
        <v>0</v>
      </c>
      <c r="DP19" s="20">
        <v>0</v>
      </c>
      <c r="DQ19" s="9">
        <v>36.1</v>
      </c>
      <c r="DR19" s="3">
        <v>27</v>
      </c>
      <c r="DS19" s="3">
        <v>41</v>
      </c>
      <c r="DT19" s="3">
        <v>45</v>
      </c>
      <c r="DU19" s="3">
        <v>42</v>
      </c>
      <c r="DV19" s="3">
        <v>30</v>
      </c>
      <c r="DW19" s="3">
        <v>36</v>
      </c>
      <c r="DX19" s="3">
        <v>33</v>
      </c>
      <c r="DY19" s="3">
        <v>35</v>
      </c>
      <c r="DZ19" s="3">
        <v>37</v>
      </c>
      <c r="EA19" s="3">
        <v>35</v>
      </c>
      <c r="EB19" s="3">
        <v>0</v>
      </c>
      <c r="EC19" s="3">
        <v>0</v>
      </c>
      <c r="ED19" s="9">
        <f t="shared" si="12"/>
        <v>25.9</v>
      </c>
      <c r="EE19" s="3">
        <v>7</v>
      </c>
      <c r="EF19" s="3">
        <v>13</v>
      </c>
      <c r="EG19" s="3">
        <v>17</v>
      </c>
      <c r="EH19" s="3">
        <v>22</v>
      </c>
      <c r="EI19" s="3">
        <v>25</v>
      </c>
      <c r="EJ19" s="3">
        <v>29</v>
      </c>
      <c r="EK19" s="3">
        <v>32</v>
      </c>
      <c r="EL19" s="3">
        <v>37</v>
      </c>
      <c r="EM19" s="3">
        <v>33</v>
      </c>
      <c r="EN19" s="3">
        <v>44</v>
      </c>
      <c r="EO19" s="3">
        <v>0</v>
      </c>
      <c r="EP19" s="3">
        <v>0</v>
      </c>
      <c r="EQ19" s="89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97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"/>
      <c r="FQ19" s="102"/>
      <c r="FR19" s="102"/>
      <c r="GA19" s="34"/>
    </row>
    <row r="20" spans="1:183" x14ac:dyDescent="0.25">
      <c r="A20" s="11" t="s">
        <v>270</v>
      </c>
      <c r="B20" s="26" t="s">
        <v>276</v>
      </c>
      <c r="C20" s="7" t="s">
        <v>275</v>
      </c>
      <c r="D20" s="142">
        <f t="shared" si="6"/>
        <v>6</v>
      </c>
      <c r="E20" s="142">
        <v>0</v>
      </c>
      <c r="F20" s="142">
        <v>9</v>
      </c>
      <c r="G20" s="142">
        <v>8</v>
      </c>
      <c r="H20" s="142">
        <v>7</v>
      </c>
      <c r="I20" s="7"/>
      <c r="J20" s="7"/>
      <c r="K20" s="7"/>
      <c r="L20" s="7"/>
      <c r="M20" s="7"/>
      <c r="N20" s="7"/>
      <c r="O20" s="7"/>
      <c r="P20" s="179"/>
      <c r="Q20" s="160">
        <f t="shared" si="10"/>
        <v>11.846</v>
      </c>
      <c r="R20" s="142">
        <v>0</v>
      </c>
      <c r="S20" s="142">
        <v>16.8</v>
      </c>
      <c r="T20" s="142">
        <v>20</v>
      </c>
      <c r="U20" s="142">
        <v>17</v>
      </c>
      <c r="V20" s="142">
        <v>0</v>
      </c>
      <c r="W20" s="142">
        <v>14</v>
      </c>
      <c r="X20" s="142">
        <v>9</v>
      </c>
      <c r="Y20" s="142">
        <v>13.33</v>
      </c>
      <c r="Z20" s="142">
        <v>11.33</v>
      </c>
      <c r="AA20" s="142">
        <v>9</v>
      </c>
      <c r="AB20" s="142">
        <v>4</v>
      </c>
      <c r="AC20" s="155">
        <v>4</v>
      </c>
      <c r="AD20" s="160">
        <v>13.692000000000002</v>
      </c>
      <c r="AE20" s="142">
        <v>0</v>
      </c>
      <c r="AF20" s="142">
        <v>12.66</v>
      </c>
      <c r="AG20" s="142">
        <v>12.66</v>
      </c>
      <c r="AH20" s="142">
        <v>12.66</v>
      </c>
      <c r="AI20" s="142">
        <v>9</v>
      </c>
      <c r="AJ20" s="142">
        <v>12</v>
      </c>
      <c r="AK20" s="142">
        <v>13</v>
      </c>
      <c r="AL20" s="142">
        <v>19</v>
      </c>
      <c r="AM20" s="142">
        <v>18</v>
      </c>
      <c r="AN20" s="142">
        <v>14</v>
      </c>
      <c r="AO20" s="142">
        <v>7.47</v>
      </c>
      <c r="AP20" s="155">
        <v>6.47</v>
      </c>
      <c r="AQ20" s="10">
        <f t="shared" si="8"/>
        <v>9.8330000000000002</v>
      </c>
      <c r="AR20" s="15">
        <v>0</v>
      </c>
      <c r="AS20" s="15">
        <v>12</v>
      </c>
      <c r="AT20" s="15">
        <v>13</v>
      </c>
      <c r="AU20" s="15">
        <v>13</v>
      </c>
      <c r="AV20" s="15">
        <v>10</v>
      </c>
      <c r="AW20" s="15">
        <v>10</v>
      </c>
      <c r="AX20" s="15">
        <v>11</v>
      </c>
      <c r="AY20" s="15">
        <v>8</v>
      </c>
      <c r="AZ20" s="15">
        <v>8</v>
      </c>
      <c r="BA20" s="15">
        <v>8</v>
      </c>
      <c r="BB20" s="15">
        <v>4</v>
      </c>
      <c r="BC20" s="21">
        <v>1.33</v>
      </c>
      <c r="BD20" s="118">
        <v>12</v>
      </c>
      <c r="BE20" s="15">
        <v>0</v>
      </c>
      <c r="BF20" s="15">
        <v>12</v>
      </c>
      <c r="BG20" s="15">
        <v>13</v>
      </c>
      <c r="BH20" s="15">
        <v>13</v>
      </c>
      <c r="BI20" s="15">
        <v>12</v>
      </c>
      <c r="BJ20" s="15">
        <v>13</v>
      </c>
      <c r="BK20" s="15">
        <v>13</v>
      </c>
      <c r="BL20" s="15">
        <v>10</v>
      </c>
      <c r="BM20" s="15">
        <v>10</v>
      </c>
      <c r="BN20" s="15">
        <v>14</v>
      </c>
      <c r="BO20" s="15">
        <v>5</v>
      </c>
      <c r="BP20" s="21">
        <v>5</v>
      </c>
      <c r="BQ20" s="73">
        <v>10.199999999999999</v>
      </c>
      <c r="BR20" s="15">
        <v>0</v>
      </c>
      <c r="BS20" s="15">
        <v>7</v>
      </c>
      <c r="BT20" s="15">
        <v>10</v>
      </c>
      <c r="BU20" s="15">
        <v>11</v>
      </c>
      <c r="BV20" s="15">
        <v>9</v>
      </c>
      <c r="BW20" s="15">
        <v>11</v>
      </c>
      <c r="BX20" s="15">
        <v>12</v>
      </c>
      <c r="BY20" s="15">
        <v>7</v>
      </c>
      <c r="BZ20" s="15">
        <v>8</v>
      </c>
      <c r="CA20" s="15">
        <v>7</v>
      </c>
      <c r="CB20" s="15">
        <v>11</v>
      </c>
      <c r="CC20" s="15">
        <v>9</v>
      </c>
      <c r="CD20" s="18">
        <v>14.085999999999999</v>
      </c>
      <c r="CE20" s="15">
        <v>0</v>
      </c>
      <c r="CF20" s="15">
        <v>17</v>
      </c>
      <c r="CG20" s="15">
        <v>21</v>
      </c>
      <c r="CH20" s="15">
        <v>16</v>
      </c>
      <c r="CI20" s="15">
        <v>15</v>
      </c>
      <c r="CJ20" s="15">
        <v>16</v>
      </c>
      <c r="CK20" s="15">
        <v>15</v>
      </c>
      <c r="CL20" s="74">
        <v>10.74</v>
      </c>
      <c r="CM20" s="74">
        <v>15.17</v>
      </c>
      <c r="CN20" s="74">
        <v>14.95</v>
      </c>
      <c r="CO20" s="15">
        <v>0</v>
      </c>
      <c r="CP20" s="15">
        <v>0</v>
      </c>
      <c r="CQ20" s="10">
        <v>9.8000000000000007</v>
      </c>
      <c r="CR20" s="15">
        <v>0</v>
      </c>
      <c r="CS20" s="15">
        <v>10</v>
      </c>
      <c r="CT20" s="15">
        <v>10</v>
      </c>
      <c r="CU20" s="15">
        <v>7</v>
      </c>
      <c r="CV20" s="15">
        <v>10</v>
      </c>
      <c r="CW20" s="15">
        <v>15</v>
      </c>
      <c r="CX20" s="15">
        <v>13</v>
      </c>
      <c r="CY20" s="15">
        <v>8</v>
      </c>
      <c r="CZ20" s="15">
        <v>13</v>
      </c>
      <c r="DA20" s="15">
        <v>12</v>
      </c>
      <c r="DB20" s="15">
        <v>0</v>
      </c>
      <c r="DC20" s="15">
        <v>0</v>
      </c>
      <c r="DD20" s="10">
        <v>6.2</v>
      </c>
      <c r="DE20" s="15">
        <v>0</v>
      </c>
      <c r="DF20" s="15">
        <v>4</v>
      </c>
      <c r="DG20" s="15">
        <v>11</v>
      </c>
      <c r="DH20" s="15">
        <v>10</v>
      </c>
      <c r="DI20" s="15">
        <v>1</v>
      </c>
      <c r="DJ20" s="15">
        <v>11</v>
      </c>
      <c r="DK20" s="15">
        <v>9</v>
      </c>
      <c r="DL20" s="15">
        <v>8</v>
      </c>
      <c r="DM20" s="15">
        <v>5</v>
      </c>
      <c r="DN20" s="15">
        <v>3</v>
      </c>
      <c r="DO20" s="15">
        <v>0</v>
      </c>
      <c r="DP20" s="21">
        <v>0</v>
      </c>
      <c r="DQ20" s="104"/>
      <c r="DR20" s="105"/>
      <c r="DS20" s="105"/>
      <c r="DT20" s="105"/>
      <c r="DU20" s="105"/>
      <c r="DV20" s="105"/>
      <c r="DW20" s="105"/>
      <c r="DX20" s="105"/>
      <c r="DY20" s="105"/>
      <c r="DZ20" s="105"/>
      <c r="EA20" s="105"/>
      <c r="EB20" s="105"/>
      <c r="EC20" s="105"/>
      <c r="ED20" s="104"/>
      <c r="EE20" s="105"/>
      <c r="EF20" s="105"/>
      <c r="EG20" s="105"/>
      <c r="EH20" s="105"/>
      <c r="EI20" s="105"/>
      <c r="EJ20" s="105"/>
      <c r="EK20" s="105"/>
      <c r="EL20" s="105"/>
      <c r="EM20" s="105"/>
      <c r="EN20" s="105"/>
      <c r="EO20" s="105"/>
      <c r="EP20" s="105"/>
      <c r="EQ20" s="104"/>
      <c r="ER20" s="105"/>
      <c r="ES20" s="105"/>
      <c r="ET20" s="105"/>
      <c r="EU20" s="105"/>
      <c r="EV20" s="105"/>
      <c r="EW20" s="105"/>
      <c r="EX20" s="105"/>
      <c r="EY20" s="105"/>
      <c r="EZ20" s="105"/>
      <c r="FA20" s="105"/>
      <c r="FB20" s="105"/>
      <c r="FC20" s="105"/>
      <c r="FD20" s="10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15"/>
      <c r="FQ20" s="103"/>
      <c r="FR20" s="103"/>
      <c r="GA20" s="34"/>
    </row>
    <row r="21" spans="1:183" x14ac:dyDescent="0.25">
      <c r="A21" s="6" t="s">
        <v>176</v>
      </c>
      <c r="B21" s="25" t="s">
        <v>205</v>
      </c>
      <c r="C21" s="1" t="s">
        <v>198</v>
      </c>
      <c r="D21" s="141">
        <f t="shared" si="6"/>
        <v>9.75</v>
      </c>
      <c r="E21" s="141">
        <v>7</v>
      </c>
      <c r="F21" s="141">
        <v>9</v>
      </c>
      <c r="G21" s="141">
        <v>11</v>
      </c>
      <c r="H21" s="141">
        <v>12</v>
      </c>
      <c r="P21" s="77"/>
      <c r="Q21" s="159">
        <f t="shared" si="10"/>
        <v>6.8</v>
      </c>
      <c r="R21" s="141">
        <v>6</v>
      </c>
      <c r="S21" s="141">
        <v>7</v>
      </c>
      <c r="T21" s="141">
        <v>4</v>
      </c>
      <c r="U21" s="141">
        <v>7</v>
      </c>
      <c r="V21" s="141">
        <v>4</v>
      </c>
      <c r="W21" s="141">
        <v>7</v>
      </c>
      <c r="X21" s="141">
        <v>7</v>
      </c>
      <c r="Y21" s="141">
        <v>9</v>
      </c>
      <c r="Z21" s="141">
        <v>8</v>
      </c>
      <c r="AA21" s="141">
        <v>9</v>
      </c>
      <c r="AB21" s="141">
        <v>0</v>
      </c>
      <c r="AC21" s="154">
        <v>0</v>
      </c>
      <c r="AD21" s="159">
        <v>4.5</v>
      </c>
      <c r="AE21" s="141">
        <v>4</v>
      </c>
      <c r="AF21" s="141">
        <v>2</v>
      </c>
      <c r="AG21" s="141">
        <v>3</v>
      </c>
      <c r="AH21" s="141">
        <v>4</v>
      </c>
      <c r="AI21" s="141">
        <v>5</v>
      </c>
      <c r="AJ21" s="141">
        <v>5</v>
      </c>
      <c r="AK21" s="141">
        <v>5</v>
      </c>
      <c r="AL21" s="141">
        <v>6</v>
      </c>
      <c r="AM21" s="141">
        <v>6</v>
      </c>
      <c r="AN21" s="141">
        <v>5</v>
      </c>
      <c r="AO21" s="141">
        <v>0</v>
      </c>
      <c r="AP21" s="141">
        <v>0</v>
      </c>
      <c r="AQ21" s="9">
        <f t="shared" si="8"/>
        <v>4.4000000000000004</v>
      </c>
      <c r="AR21" s="3">
        <v>6</v>
      </c>
      <c r="AS21" s="3">
        <v>4</v>
      </c>
      <c r="AT21" s="3">
        <v>5</v>
      </c>
      <c r="AU21" s="3">
        <v>4</v>
      </c>
      <c r="AV21" s="3">
        <v>6</v>
      </c>
      <c r="AW21" s="3">
        <v>3</v>
      </c>
      <c r="AX21" s="3">
        <v>5</v>
      </c>
      <c r="AY21" s="3">
        <v>3</v>
      </c>
      <c r="AZ21" s="3">
        <v>3</v>
      </c>
      <c r="BA21" s="3">
        <v>5</v>
      </c>
      <c r="BB21" s="3">
        <v>0</v>
      </c>
      <c r="BC21" s="3">
        <v>0</v>
      </c>
      <c r="BD21" s="117">
        <v>6.5</v>
      </c>
      <c r="BE21" s="3">
        <v>6</v>
      </c>
      <c r="BF21" s="3">
        <v>8</v>
      </c>
      <c r="BG21" s="3">
        <v>6</v>
      </c>
      <c r="BH21" s="3">
        <v>6</v>
      </c>
      <c r="BI21" s="3">
        <v>7</v>
      </c>
      <c r="BJ21" s="3">
        <v>7</v>
      </c>
      <c r="BK21" s="3">
        <v>4</v>
      </c>
      <c r="BL21" s="3">
        <v>4</v>
      </c>
      <c r="BM21" s="3">
        <v>7</v>
      </c>
      <c r="BN21" s="3">
        <v>10</v>
      </c>
      <c r="BO21" s="3">
        <v>0</v>
      </c>
      <c r="BP21" s="20">
        <v>0</v>
      </c>
      <c r="BQ21" s="65">
        <v>7.8</v>
      </c>
      <c r="BR21" s="3">
        <v>2</v>
      </c>
      <c r="BS21" s="3">
        <v>6</v>
      </c>
      <c r="BT21" s="3">
        <v>10</v>
      </c>
      <c r="BU21" s="3">
        <v>9</v>
      </c>
      <c r="BV21" s="3">
        <v>10</v>
      </c>
      <c r="BW21" s="3">
        <v>7</v>
      </c>
      <c r="BX21" s="3">
        <v>8</v>
      </c>
      <c r="BY21" s="3">
        <v>6</v>
      </c>
      <c r="BZ21" s="3">
        <v>6</v>
      </c>
      <c r="CA21" s="3">
        <v>4</v>
      </c>
      <c r="CB21" s="3">
        <v>6</v>
      </c>
      <c r="CC21" s="3">
        <v>4</v>
      </c>
      <c r="CD21" s="16">
        <v>1.2989999999999999</v>
      </c>
      <c r="CE21" s="3">
        <v>0</v>
      </c>
      <c r="CF21" s="3">
        <v>1</v>
      </c>
      <c r="CG21" s="3">
        <v>1</v>
      </c>
      <c r="CH21" s="3">
        <v>1</v>
      </c>
      <c r="CI21" s="3">
        <v>1</v>
      </c>
      <c r="CJ21" s="3">
        <v>2</v>
      </c>
      <c r="CK21" s="3">
        <v>1</v>
      </c>
      <c r="CL21" s="66">
        <v>2</v>
      </c>
      <c r="CM21" s="66">
        <v>2.04</v>
      </c>
      <c r="CN21" s="66">
        <v>1.95</v>
      </c>
      <c r="CO21" s="3">
        <v>0</v>
      </c>
      <c r="CP21" s="3">
        <v>0</v>
      </c>
      <c r="CQ21" s="9">
        <v>2.2000000000000002</v>
      </c>
      <c r="CR21" s="3">
        <v>1</v>
      </c>
      <c r="CS21" s="3">
        <v>1</v>
      </c>
      <c r="CT21" s="3">
        <v>2</v>
      </c>
      <c r="CU21" s="3">
        <v>4</v>
      </c>
      <c r="CV21" s="3">
        <v>5</v>
      </c>
      <c r="CW21" s="3">
        <v>5</v>
      </c>
      <c r="CX21" s="3">
        <v>2</v>
      </c>
      <c r="CY21" s="3">
        <v>2</v>
      </c>
      <c r="CZ21" s="3">
        <v>0</v>
      </c>
      <c r="DA21" s="3">
        <v>0</v>
      </c>
      <c r="DB21" s="3">
        <v>0</v>
      </c>
      <c r="DC21" s="3">
        <v>0</v>
      </c>
      <c r="DD21" s="9">
        <v>1.5</v>
      </c>
      <c r="DE21" s="3">
        <v>0</v>
      </c>
      <c r="DF21" s="3">
        <v>2</v>
      </c>
      <c r="DG21" s="3">
        <v>0</v>
      </c>
      <c r="DH21" s="3">
        <v>0</v>
      </c>
      <c r="DI21" s="3">
        <v>1</v>
      </c>
      <c r="DJ21" s="3">
        <v>1</v>
      </c>
      <c r="DK21" s="3">
        <v>3</v>
      </c>
      <c r="DL21" s="3">
        <v>3</v>
      </c>
      <c r="DM21" s="3">
        <v>2</v>
      </c>
      <c r="DN21" s="3">
        <v>3</v>
      </c>
      <c r="DO21" s="3">
        <v>0</v>
      </c>
      <c r="DP21" s="20">
        <v>0</v>
      </c>
      <c r="DQ21" s="9">
        <v>1.4</v>
      </c>
      <c r="DR21" s="3">
        <v>0</v>
      </c>
      <c r="DS21" s="3">
        <v>1</v>
      </c>
      <c r="DT21" s="3">
        <v>0</v>
      </c>
      <c r="DU21" s="3">
        <v>0</v>
      </c>
      <c r="DV21" s="3">
        <v>0</v>
      </c>
      <c r="DW21" s="3">
        <v>1</v>
      </c>
      <c r="DX21" s="3">
        <v>4</v>
      </c>
      <c r="DY21" s="3">
        <v>0</v>
      </c>
      <c r="DZ21" s="3">
        <v>3</v>
      </c>
      <c r="EA21" s="3">
        <v>5</v>
      </c>
      <c r="EB21" s="3">
        <v>0</v>
      </c>
      <c r="EC21" s="3">
        <v>0</v>
      </c>
      <c r="ED21" s="9">
        <f t="shared" si="12"/>
        <v>1.35</v>
      </c>
      <c r="EE21" s="3">
        <v>0</v>
      </c>
      <c r="EF21" s="3">
        <v>2.7</v>
      </c>
      <c r="EG21" s="3">
        <v>1.8</v>
      </c>
      <c r="EH21" s="3">
        <v>1.8</v>
      </c>
      <c r="EI21" s="3">
        <v>1.8</v>
      </c>
      <c r="EJ21" s="3">
        <v>1.8</v>
      </c>
      <c r="EK21" s="3">
        <v>0</v>
      </c>
      <c r="EL21" s="3">
        <v>1.8</v>
      </c>
      <c r="EM21" s="3">
        <v>0</v>
      </c>
      <c r="EN21" s="3">
        <v>1.8</v>
      </c>
      <c r="EO21" s="3">
        <v>0</v>
      </c>
      <c r="EP21" s="3">
        <v>0</v>
      </c>
      <c r="EQ21" s="89"/>
      <c r="ER21" s="87"/>
      <c r="ES21" s="87"/>
      <c r="ET21" s="87"/>
      <c r="EU21" s="87"/>
      <c r="EV21" s="87"/>
      <c r="EW21" s="87"/>
      <c r="EX21" s="87"/>
      <c r="EY21" s="87"/>
      <c r="EZ21" s="87"/>
      <c r="FA21" s="87"/>
      <c r="FB21" s="87"/>
      <c r="FC21" s="87"/>
      <c r="FD21" s="97"/>
      <c r="FE21" s="107"/>
      <c r="FF21" s="107"/>
      <c r="FG21" s="107"/>
      <c r="FH21" s="107"/>
      <c r="FI21" s="107"/>
      <c r="FJ21" s="107"/>
      <c r="FK21" s="107"/>
      <c r="FL21" s="107"/>
      <c r="FM21" s="107"/>
      <c r="FN21" s="107"/>
      <c r="FO21" s="107"/>
      <c r="FP21" s="87"/>
      <c r="FQ21" s="102"/>
      <c r="FR21" s="102"/>
      <c r="GA21" s="34"/>
    </row>
    <row r="22" spans="1:183" x14ac:dyDescent="0.25">
      <c r="A22" s="6"/>
      <c r="B22" s="25" t="s">
        <v>398</v>
      </c>
      <c r="C22" s="1" t="s">
        <v>397</v>
      </c>
      <c r="D22" s="141">
        <f t="shared" si="6"/>
        <v>0</v>
      </c>
      <c r="E22" s="141">
        <v>0</v>
      </c>
      <c r="F22" s="141">
        <v>0</v>
      </c>
      <c r="G22" s="141">
        <v>0</v>
      </c>
      <c r="H22" s="141">
        <v>0</v>
      </c>
      <c r="P22" s="77"/>
      <c r="Q22" s="159">
        <f t="shared" si="10"/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X22" s="141">
        <v>0</v>
      </c>
      <c r="Y22" s="141">
        <v>0</v>
      </c>
      <c r="Z22" s="141">
        <v>0</v>
      </c>
      <c r="AA22" s="141">
        <v>0</v>
      </c>
      <c r="AB22" s="141">
        <v>0</v>
      </c>
      <c r="AC22" s="154">
        <v>0</v>
      </c>
      <c r="AD22" s="159">
        <v>11.6</v>
      </c>
      <c r="AE22" s="141">
        <v>0</v>
      </c>
      <c r="AF22" s="141">
        <v>5</v>
      </c>
      <c r="AG22" s="141">
        <v>20</v>
      </c>
      <c r="AH22" s="141">
        <v>16</v>
      </c>
      <c r="AI22" s="141">
        <v>5</v>
      </c>
      <c r="AJ22" s="141">
        <v>21</v>
      </c>
      <c r="AK22" s="141">
        <v>14</v>
      </c>
      <c r="AL22" s="141">
        <v>9</v>
      </c>
      <c r="AM22" s="141">
        <v>14</v>
      </c>
      <c r="AN22" s="141">
        <v>12</v>
      </c>
      <c r="AO22" s="141">
        <v>0</v>
      </c>
      <c r="AP22" s="141">
        <v>0</v>
      </c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109"/>
      <c r="BD22" s="129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90"/>
      <c r="BQ22" s="113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91"/>
      <c r="CE22" s="87"/>
      <c r="CF22" s="87"/>
      <c r="CG22" s="87"/>
      <c r="CH22" s="87"/>
      <c r="CI22" s="87"/>
      <c r="CJ22" s="87"/>
      <c r="CK22" s="87"/>
      <c r="CL22" s="92"/>
      <c r="CM22" s="92"/>
      <c r="CN22" s="92"/>
      <c r="CO22" s="87"/>
      <c r="CP22" s="87"/>
      <c r="CQ22" s="89"/>
      <c r="CR22" s="87"/>
      <c r="CS22" s="87"/>
      <c r="CT22" s="87"/>
      <c r="CU22" s="87"/>
      <c r="CV22" s="87"/>
      <c r="CW22" s="87"/>
      <c r="CX22" s="87"/>
      <c r="CY22" s="87"/>
      <c r="CZ22" s="87"/>
      <c r="DA22" s="87"/>
      <c r="DB22" s="87"/>
      <c r="DC22" s="87"/>
      <c r="DD22" s="89"/>
      <c r="DE22" s="87"/>
      <c r="DF22" s="87"/>
      <c r="DG22" s="87"/>
      <c r="DH22" s="87"/>
      <c r="DI22" s="87"/>
      <c r="DJ22" s="87"/>
      <c r="DK22" s="87"/>
      <c r="DL22" s="87"/>
      <c r="DM22" s="87"/>
      <c r="DN22" s="87"/>
      <c r="DO22" s="87"/>
      <c r="DP22" s="90"/>
      <c r="DQ22" s="89"/>
      <c r="DR22" s="87"/>
      <c r="DS22" s="87"/>
      <c r="DT22" s="87"/>
      <c r="DU22" s="87"/>
      <c r="DV22" s="87"/>
      <c r="DW22" s="87"/>
      <c r="DX22" s="87"/>
      <c r="DY22" s="87"/>
      <c r="DZ22" s="87"/>
      <c r="EA22" s="87"/>
      <c r="EB22" s="87"/>
      <c r="EC22" s="87"/>
      <c r="ED22" s="89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87"/>
      <c r="EQ22" s="89"/>
      <c r="ER22" s="87"/>
      <c r="ES22" s="87"/>
      <c r="ET22" s="87"/>
      <c r="EU22" s="87"/>
      <c r="EV22" s="87"/>
      <c r="EW22" s="87"/>
      <c r="EX22" s="87"/>
      <c r="EY22" s="87"/>
      <c r="EZ22" s="87"/>
      <c r="FA22" s="87"/>
      <c r="FB22" s="87"/>
      <c r="FC22" s="87"/>
      <c r="FD22" s="97"/>
      <c r="FE22" s="107"/>
      <c r="FF22" s="107"/>
      <c r="FG22" s="107"/>
      <c r="FH22" s="107"/>
      <c r="FI22" s="107"/>
      <c r="FJ22" s="107"/>
      <c r="FK22" s="107"/>
      <c r="FL22" s="107"/>
      <c r="FM22" s="107"/>
      <c r="FN22" s="107"/>
      <c r="FO22" s="107"/>
      <c r="FP22" s="87"/>
      <c r="FQ22" s="102"/>
      <c r="FR22" s="102"/>
      <c r="GA22" s="34"/>
    </row>
    <row r="23" spans="1:183" x14ac:dyDescent="0.25">
      <c r="A23" s="6" t="s">
        <v>87</v>
      </c>
      <c r="B23" s="25" t="s">
        <v>72</v>
      </c>
      <c r="C23" s="1" t="s">
        <v>71</v>
      </c>
      <c r="D23" s="141">
        <f t="shared" si="6"/>
        <v>115.1</v>
      </c>
      <c r="E23" s="141">
        <v>102.92</v>
      </c>
      <c r="F23" s="141">
        <v>117.58</v>
      </c>
      <c r="G23" s="141">
        <v>120.12</v>
      </c>
      <c r="H23" s="141">
        <v>119.78</v>
      </c>
      <c r="P23" s="77"/>
      <c r="Q23" s="159">
        <f t="shared" si="10"/>
        <v>118.628</v>
      </c>
      <c r="R23" s="141">
        <v>114.13</v>
      </c>
      <c r="S23" s="141">
        <v>107.31</v>
      </c>
      <c r="T23" s="141">
        <v>112.31</v>
      </c>
      <c r="U23" s="141">
        <v>110.31</v>
      </c>
      <c r="V23" s="141">
        <v>103.92</v>
      </c>
      <c r="W23" s="141">
        <v>106.13</v>
      </c>
      <c r="X23" s="141">
        <v>99.13</v>
      </c>
      <c r="Y23" s="141">
        <v>108</v>
      </c>
      <c r="Z23" s="141">
        <v>120.52</v>
      </c>
      <c r="AA23" s="141">
        <v>124.52</v>
      </c>
      <c r="AB23" s="141">
        <v>50</v>
      </c>
      <c r="AC23" s="154">
        <v>30</v>
      </c>
      <c r="AD23" s="159">
        <v>114.46600000000001</v>
      </c>
      <c r="AE23" s="141">
        <v>65.11</v>
      </c>
      <c r="AF23" s="141">
        <v>79.11</v>
      </c>
      <c r="AG23" s="141">
        <v>105.98</v>
      </c>
      <c r="AH23" s="141">
        <v>111.98</v>
      </c>
      <c r="AI23" s="141">
        <v>119.18</v>
      </c>
      <c r="AJ23" s="141">
        <v>124.18</v>
      </c>
      <c r="AK23" s="141">
        <v>125.18</v>
      </c>
      <c r="AL23" s="141">
        <v>124.98</v>
      </c>
      <c r="AM23" s="141">
        <v>116.98</v>
      </c>
      <c r="AN23" s="141">
        <v>103.98</v>
      </c>
      <c r="AO23" s="141">
        <v>41</v>
      </c>
      <c r="AP23" s="141">
        <v>27</v>
      </c>
      <c r="AQ23" s="9">
        <f t="shared" ref="AQ23:AQ55" si="13">SUM(AR23:BC23)/10</f>
        <v>101.014</v>
      </c>
      <c r="AR23" s="3">
        <v>71</v>
      </c>
      <c r="AS23" s="3">
        <v>70</v>
      </c>
      <c r="AT23" s="3">
        <v>76</v>
      </c>
      <c r="AU23" s="3">
        <v>93</v>
      </c>
      <c r="AV23" s="3">
        <v>94</v>
      </c>
      <c r="AW23" s="3">
        <v>109.67</v>
      </c>
      <c r="AX23" s="3">
        <v>116.34</v>
      </c>
      <c r="AY23" s="3">
        <v>113.35</v>
      </c>
      <c r="AZ23" s="3">
        <v>109.39</v>
      </c>
      <c r="BA23" s="3">
        <v>93.39</v>
      </c>
      <c r="BB23" s="3">
        <v>37</v>
      </c>
      <c r="BC23" s="3">
        <v>27</v>
      </c>
      <c r="BD23" s="117">
        <v>111.24000000000001</v>
      </c>
      <c r="BE23" s="3">
        <v>66</v>
      </c>
      <c r="BF23" s="3">
        <v>80</v>
      </c>
      <c r="BG23" s="3">
        <v>100</v>
      </c>
      <c r="BH23" s="3">
        <v>103</v>
      </c>
      <c r="BI23" s="3">
        <v>110</v>
      </c>
      <c r="BJ23" s="3">
        <v>116</v>
      </c>
      <c r="BK23" s="3">
        <v>124</v>
      </c>
      <c r="BL23" s="3">
        <v>125</v>
      </c>
      <c r="BM23" s="3">
        <v>120</v>
      </c>
      <c r="BN23" s="3">
        <v>106</v>
      </c>
      <c r="BO23" s="3">
        <v>40.4</v>
      </c>
      <c r="BP23" s="20">
        <v>22</v>
      </c>
      <c r="BQ23" s="65">
        <v>97.537999999999997</v>
      </c>
      <c r="BR23" s="3">
        <v>63.33</v>
      </c>
      <c r="BS23" s="3">
        <v>63.33</v>
      </c>
      <c r="BT23" s="3">
        <v>80.33</v>
      </c>
      <c r="BU23" s="3">
        <v>94.33</v>
      </c>
      <c r="BV23" s="3">
        <v>99.86</v>
      </c>
      <c r="BW23" s="3">
        <v>98.86</v>
      </c>
      <c r="BX23" s="3">
        <v>104.86</v>
      </c>
      <c r="BY23" s="3">
        <v>111</v>
      </c>
      <c r="BZ23" s="3">
        <v>102</v>
      </c>
      <c r="CA23" s="3">
        <v>96</v>
      </c>
      <c r="CB23" s="3">
        <v>42.46</v>
      </c>
      <c r="CC23" s="3">
        <v>19.02</v>
      </c>
      <c r="CD23" s="16">
        <v>87.03400000000002</v>
      </c>
      <c r="CE23" s="3">
        <v>58</v>
      </c>
      <c r="CF23" s="3">
        <v>74.930000000000007</v>
      </c>
      <c r="CG23" s="3">
        <v>83.93</v>
      </c>
      <c r="CH23" s="3">
        <v>84.6</v>
      </c>
      <c r="CI23" s="3">
        <v>78</v>
      </c>
      <c r="CJ23" s="3">
        <v>88</v>
      </c>
      <c r="CK23" s="3">
        <v>87</v>
      </c>
      <c r="CL23" s="66">
        <v>98.83</v>
      </c>
      <c r="CM23" s="66">
        <v>96.87</v>
      </c>
      <c r="CN23" s="66">
        <v>88.72</v>
      </c>
      <c r="CO23" s="3">
        <v>31.46</v>
      </c>
      <c r="CP23" s="3">
        <v>0</v>
      </c>
      <c r="CQ23" s="9">
        <v>87.585999999999984</v>
      </c>
      <c r="CR23" s="3">
        <v>60</v>
      </c>
      <c r="CS23" s="3">
        <v>70</v>
      </c>
      <c r="CT23" s="3">
        <v>75</v>
      </c>
      <c r="CU23" s="3">
        <v>67.66</v>
      </c>
      <c r="CV23" s="3">
        <v>80</v>
      </c>
      <c r="CW23" s="3">
        <v>80.66</v>
      </c>
      <c r="CX23" s="3">
        <v>88.66</v>
      </c>
      <c r="CY23" s="3">
        <v>99.59</v>
      </c>
      <c r="CZ23" s="3">
        <v>97.59</v>
      </c>
      <c r="DA23" s="3">
        <v>89.39</v>
      </c>
      <c r="DB23" s="3">
        <v>67.31</v>
      </c>
      <c r="DC23" s="3">
        <v>0</v>
      </c>
      <c r="DD23" s="9">
        <v>73.784999999999997</v>
      </c>
      <c r="DE23" s="3">
        <v>37</v>
      </c>
      <c r="DF23" s="3">
        <v>42</v>
      </c>
      <c r="DG23" s="3">
        <v>49</v>
      </c>
      <c r="DH23" s="3">
        <v>54</v>
      </c>
      <c r="DI23" s="3">
        <v>60.93</v>
      </c>
      <c r="DJ23" s="3">
        <v>78.66</v>
      </c>
      <c r="DK23" s="3">
        <v>79.930000000000007</v>
      </c>
      <c r="DL23" s="3">
        <v>82</v>
      </c>
      <c r="DM23" s="3">
        <v>74</v>
      </c>
      <c r="DN23" s="3">
        <v>82</v>
      </c>
      <c r="DO23" s="3">
        <v>49.34</v>
      </c>
      <c r="DP23" s="20">
        <v>48.99</v>
      </c>
      <c r="DQ23" s="9">
        <v>39.112000000000002</v>
      </c>
      <c r="DR23" s="3">
        <v>20</v>
      </c>
      <c r="DS23" s="3">
        <v>29</v>
      </c>
      <c r="DT23" s="3">
        <v>31</v>
      </c>
      <c r="DU23" s="3">
        <v>36</v>
      </c>
      <c r="DV23" s="3">
        <v>38</v>
      </c>
      <c r="DW23" s="3">
        <v>41</v>
      </c>
      <c r="DX23" s="3">
        <v>36</v>
      </c>
      <c r="DY23" s="3">
        <v>43</v>
      </c>
      <c r="DZ23" s="3">
        <v>40</v>
      </c>
      <c r="EA23" s="3">
        <v>37</v>
      </c>
      <c r="EB23" s="3">
        <v>22.79</v>
      </c>
      <c r="EC23" s="3">
        <v>17.329999999999998</v>
      </c>
      <c r="ED23" s="9">
        <f t="shared" si="12"/>
        <v>27.004999999999995</v>
      </c>
      <c r="EE23" s="3">
        <v>16</v>
      </c>
      <c r="EF23" s="3">
        <v>21</v>
      </c>
      <c r="EG23" s="3">
        <v>20</v>
      </c>
      <c r="EH23" s="3">
        <v>21</v>
      </c>
      <c r="EI23" s="3">
        <v>23</v>
      </c>
      <c r="EJ23" s="3">
        <v>25.2</v>
      </c>
      <c r="EK23" s="3">
        <v>23.2</v>
      </c>
      <c r="EL23" s="3">
        <v>33.33</v>
      </c>
      <c r="EM23" s="3">
        <v>29.33</v>
      </c>
      <c r="EN23" s="3">
        <v>27.33</v>
      </c>
      <c r="EO23" s="3">
        <v>17.34</v>
      </c>
      <c r="EP23" s="3">
        <v>13.32</v>
      </c>
      <c r="EQ23" s="9">
        <f t="shared" ref="EQ23:EQ25" si="14">+IFERROR((SUM(ER23:FC23)/10),0)</f>
        <v>13.9</v>
      </c>
      <c r="ER23" s="3">
        <v>7</v>
      </c>
      <c r="ES23" s="3">
        <v>8</v>
      </c>
      <c r="ET23" s="3">
        <v>6</v>
      </c>
      <c r="EU23" s="3">
        <v>9</v>
      </c>
      <c r="EV23" s="3">
        <v>10</v>
      </c>
      <c r="EW23" s="3">
        <v>17</v>
      </c>
      <c r="EX23" s="3">
        <v>17</v>
      </c>
      <c r="EY23" s="3">
        <v>17</v>
      </c>
      <c r="EZ23" s="3">
        <v>11</v>
      </c>
      <c r="FA23" s="3">
        <v>17</v>
      </c>
      <c r="FB23" s="3">
        <v>10</v>
      </c>
      <c r="FC23" s="3">
        <v>10</v>
      </c>
      <c r="FD23" s="69">
        <f t="shared" si="9"/>
        <v>14.1</v>
      </c>
      <c r="FE23" s="3">
        <v>0</v>
      </c>
      <c r="FF23" s="3">
        <v>14</v>
      </c>
      <c r="FG23" s="3">
        <v>17</v>
      </c>
      <c r="FH23" s="3">
        <v>20</v>
      </c>
      <c r="FI23" s="3">
        <v>18</v>
      </c>
      <c r="FJ23" s="3">
        <v>14</v>
      </c>
      <c r="FK23" s="3">
        <v>14</v>
      </c>
      <c r="FL23" s="3">
        <v>11</v>
      </c>
      <c r="FM23" s="3">
        <v>11</v>
      </c>
      <c r="FN23" s="3">
        <v>11</v>
      </c>
      <c r="FO23" s="3">
        <v>7</v>
      </c>
      <c r="FP23" s="3">
        <v>4</v>
      </c>
      <c r="FQ23" s="102"/>
      <c r="FR23" s="102"/>
      <c r="GA23" s="34"/>
    </row>
    <row r="24" spans="1:183" x14ac:dyDescent="0.25">
      <c r="A24" s="6" t="s">
        <v>159</v>
      </c>
      <c r="B24" s="68" t="s">
        <v>7</v>
      </c>
      <c r="C24" s="1" t="s">
        <v>8</v>
      </c>
      <c r="D24" s="141">
        <f t="shared" si="6"/>
        <v>19.75</v>
      </c>
      <c r="E24" s="141">
        <v>16</v>
      </c>
      <c r="F24" s="141">
        <v>17</v>
      </c>
      <c r="G24" s="141">
        <v>25</v>
      </c>
      <c r="H24" s="141">
        <v>21</v>
      </c>
      <c r="P24" s="77"/>
      <c r="Q24" s="159">
        <f t="shared" si="10"/>
        <v>17.399999999999999</v>
      </c>
      <c r="R24" s="141">
        <v>6</v>
      </c>
      <c r="S24" s="141">
        <v>25</v>
      </c>
      <c r="T24" s="141">
        <v>28</v>
      </c>
      <c r="U24" s="141">
        <v>20</v>
      </c>
      <c r="V24" s="141">
        <v>20</v>
      </c>
      <c r="W24" s="141">
        <v>15</v>
      </c>
      <c r="X24" s="141">
        <v>4</v>
      </c>
      <c r="Y24" s="141">
        <v>18</v>
      </c>
      <c r="Z24" s="141">
        <v>22</v>
      </c>
      <c r="AA24" s="141">
        <v>16</v>
      </c>
      <c r="AB24" s="141">
        <v>0</v>
      </c>
      <c r="AC24" s="154">
        <v>0</v>
      </c>
      <c r="AD24" s="159">
        <v>7.1</v>
      </c>
      <c r="AE24" s="141">
        <v>11</v>
      </c>
      <c r="AF24" s="141">
        <v>11</v>
      </c>
      <c r="AG24" s="141">
        <v>13</v>
      </c>
      <c r="AH24" s="141">
        <v>13</v>
      </c>
      <c r="AI24" s="141">
        <v>3</v>
      </c>
      <c r="AJ24" s="141">
        <v>6</v>
      </c>
      <c r="AK24" s="141">
        <v>6</v>
      </c>
      <c r="AL24" s="141">
        <v>6</v>
      </c>
      <c r="AM24" s="141">
        <v>1</v>
      </c>
      <c r="AN24" s="141">
        <v>1</v>
      </c>
      <c r="AO24" s="141">
        <v>0</v>
      </c>
      <c r="AP24" s="141">
        <v>0</v>
      </c>
      <c r="AQ24" s="9">
        <f t="shared" si="13"/>
        <v>18.838000000000001</v>
      </c>
      <c r="AR24" s="3">
        <v>10</v>
      </c>
      <c r="AS24" s="3">
        <v>8</v>
      </c>
      <c r="AT24" s="3">
        <v>16</v>
      </c>
      <c r="AU24" s="3">
        <v>14</v>
      </c>
      <c r="AV24" s="3">
        <v>15</v>
      </c>
      <c r="AW24" s="3">
        <v>23</v>
      </c>
      <c r="AX24" s="3">
        <v>25.38</v>
      </c>
      <c r="AY24" s="3">
        <v>19</v>
      </c>
      <c r="AZ24" s="3">
        <v>21</v>
      </c>
      <c r="BA24" s="3">
        <v>19</v>
      </c>
      <c r="BB24" s="3">
        <v>18</v>
      </c>
      <c r="BC24" s="3">
        <v>0</v>
      </c>
      <c r="BD24" s="117">
        <v>12.3</v>
      </c>
      <c r="BE24" s="3">
        <v>8</v>
      </c>
      <c r="BF24" s="3">
        <v>8</v>
      </c>
      <c r="BG24" s="3">
        <v>10</v>
      </c>
      <c r="BH24" s="3">
        <v>10</v>
      </c>
      <c r="BI24" s="3">
        <v>7</v>
      </c>
      <c r="BJ24" s="3">
        <v>7</v>
      </c>
      <c r="BK24" s="3">
        <v>14</v>
      </c>
      <c r="BL24" s="3">
        <v>20</v>
      </c>
      <c r="BM24" s="3">
        <v>21</v>
      </c>
      <c r="BN24" s="3">
        <v>18</v>
      </c>
      <c r="BO24" s="3">
        <v>0</v>
      </c>
      <c r="BP24" s="20">
        <v>0</v>
      </c>
      <c r="BQ24" s="65">
        <v>18.16</v>
      </c>
      <c r="BR24" s="3">
        <v>19</v>
      </c>
      <c r="BS24" s="3">
        <v>15</v>
      </c>
      <c r="BT24" s="3">
        <v>21</v>
      </c>
      <c r="BU24" s="3">
        <v>17</v>
      </c>
      <c r="BV24" s="3">
        <v>14</v>
      </c>
      <c r="BW24" s="3">
        <v>16</v>
      </c>
      <c r="BX24" s="3">
        <v>18</v>
      </c>
      <c r="BY24" s="3">
        <v>15</v>
      </c>
      <c r="BZ24" s="3">
        <v>17</v>
      </c>
      <c r="CA24" s="3">
        <v>16.600000000000001</v>
      </c>
      <c r="CB24" s="3">
        <v>10</v>
      </c>
      <c r="CC24" s="3">
        <v>3</v>
      </c>
      <c r="CD24" s="16">
        <v>18.183999999999997</v>
      </c>
      <c r="CE24" s="3">
        <v>12</v>
      </c>
      <c r="CF24" s="3">
        <v>23</v>
      </c>
      <c r="CG24" s="3">
        <v>18</v>
      </c>
      <c r="CH24" s="3">
        <v>16</v>
      </c>
      <c r="CI24" s="3">
        <v>17</v>
      </c>
      <c r="CJ24" s="3">
        <v>17</v>
      </c>
      <c r="CK24" s="3">
        <v>20</v>
      </c>
      <c r="CL24" s="66">
        <v>14.42</v>
      </c>
      <c r="CM24" s="66">
        <v>15.78</v>
      </c>
      <c r="CN24" s="66">
        <v>15.64</v>
      </c>
      <c r="CO24" s="3">
        <v>8</v>
      </c>
      <c r="CP24" s="3">
        <v>5</v>
      </c>
      <c r="CQ24" s="9">
        <v>22.339999999999996</v>
      </c>
      <c r="CR24" s="3">
        <v>7</v>
      </c>
      <c r="CS24" s="3">
        <v>17</v>
      </c>
      <c r="CT24" s="3">
        <v>20</v>
      </c>
      <c r="CU24" s="3">
        <v>20</v>
      </c>
      <c r="CV24" s="3">
        <v>23</v>
      </c>
      <c r="CW24" s="3">
        <v>28</v>
      </c>
      <c r="CX24" s="3">
        <v>25</v>
      </c>
      <c r="CY24" s="3">
        <v>21.2</v>
      </c>
      <c r="CZ24" s="3">
        <v>23.2</v>
      </c>
      <c r="DA24" s="3">
        <v>23</v>
      </c>
      <c r="DB24" s="3">
        <v>9</v>
      </c>
      <c r="DC24" s="3">
        <v>7</v>
      </c>
      <c r="DD24" s="9">
        <v>22.6</v>
      </c>
      <c r="DE24" s="3">
        <v>10</v>
      </c>
      <c r="DF24" s="3">
        <v>18</v>
      </c>
      <c r="DG24" s="3">
        <v>22</v>
      </c>
      <c r="DH24" s="3">
        <v>19</v>
      </c>
      <c r="DI24" s="3">
        <v>16</v>
      </c>
      <c r="DJ24" s="3">
        <v>19</v>
      </c>
      <c r="DK24" s="3">
        <v>19</v>
      </c>
      <c r="DL24" s="3">
        <v>29</v>
      </c>
      <c r="DM24" s="3">
        <v>21</v>
      </c>
      <c r="DN24" s="3">
        <v>24</v>
      </c>
      <c r="DO24" s="3">
        <v>20</v>
      </c>
      <c r="DP24" s="20">
        <v>9</v>
      </c>
      <c r="DQ24" s="9">
        <v>17.559999999999999</v>
      </c>
      <c r="DR24" s="3">
        <v>4.5999999999999996</v>
      </c>
      <c r="DS24" s="3">
        <v>7</v>
      </c>
      <c r="DT24" s="3">
        <v>16</v>
      </c>
      <c r="DU24" s="3">
        <v>17</v>
      </c>
      <c r="DV24" s="3">
        <v>16</v>
      </c>
      <c r="DW24" s="3">
        <v>17</v>
      </c>
      <c r="DX24" s="3">
        <v>18</v>
      </c>
      <c r="DY24" s="3">
        <v>18</v>
      </c>
      <c r="DZ24" s="3">
        <v>19</v>
      </c>
      <c r="EA24" s="3">
        <v>21</v>
      </c>
      <c r="EB24" s="3">
        <v>11</v>
      </c>
      <c r="EC24" s="3">
        <v>11</v>
      </c>
      <c r="ED24" s="9">
        <f t="shared" si="12"/>
        <v>5</v>
      </c>
      <c r="EE24" s="3">
        <v>3</v>
      </c>
      <c r="EF24" s="3">
        <v>7</v>
      </c>
      <c r="EG24" s="3">
        <v>9</v>
      </c>
      <c r="EH24" s="3">
        <v>2</v>
      </c>
      <c r="EI24" s="3">
        <v>3</v>
      </c>
      <c r="EJ24" s="3">
        <v>6</v>
      </c>
      <c r="EK24" s="3">
        <v>2</v>
      </c>
      <c r="EL24" s="3">
        <v>2</v>
      </c>
      <c r="EM24" s="3">
        <v>4</v>
      </c>
      <c r="EN24" s="3">
        <v>5</v>
      </c>
      <c r="EO24" s="3">
        <v>4</v>
      </c>
      <c r="EP24" s="3">
        <v>3</v>
      </c>
      <c r="EQ24" s="9">
        <f t="shared" si="14"/>
        <v>15.1</v>
      </c>
      <c r="ER24" s="3">
        <v>15</v>
      </c>
      <c r="ES24" s="3">
        <v>14</v>
      </c>
      <c r="ET24" s="3">
        <v>12</v>
      </c>
      <c r="EU24" s="3">
        <v>12</v>
      </c>
      <c r="EV24" s="3">
        <v>10</v>
      </c>
      <c r="EW24" s="3">
        <v>11</v>
      </c>
      <c r="EX24" s="3">
        <v>14</v>
      </c>
      <c r="EY24" s="3">
        <v>16</v>
      </c>
      <c r="EZ24" s="3">
        <v>17</v>
      </c>
      <c r="FA24" s="3">
        <v>18</v>
      </c>
      <c r="FB24" s="3">
        <v>7</v>
      </c>
      <c r="FC24" s="3">
        <v>5</v>
      </c>
      <c r="FD24" s="69">
        <f t="shared" si="9"/>
        <v>15</v>
      </c>
      <c r="FE24" s="3">
        <v>11</v>
      </c>
      <c r="FF24" s="3">
        <v>11</v>
      </c>
      <c r="FG24" s="3">
        <v>16</v>
      </c>
      <c r="FH24" s="3">
        <v>20</v>
      </c>
      <c r="FI24" s="3">
        <v>15</v>
      </c>
      <c r="FJ24" s="3">
        <v>15</v>
      </c>
      <c r="FK24" s="3">
        <v>13</v>
      </c>
      <c r="FL24" s="3">
        <v>11</v>
      </c>
      <c r="FM24" s="3">
        <v>8</v>
      </c>
      <c r="FN24" s="3">
        <v>11</v>
      </c>
      <c r="FO24" s="3">
        <v>10</v>
      </c>
      <c r="FP24" s="3">
        <v>9</v>
      </c>
      <c r="FQ24" s="16">
        <v>15.4</v>
      </c>
      <c r="FR24" s="102"/>
      <c r="GA24" s="34"/>
    </row>
    <row r="25" spans="1:183" x14ac:dyDescent="0.25">
      <c r="A25" s="6" t="s">
        <v>159</v>
      </c>
      <c r="B25" s="68" t="s">
        <v>9</v>
      </c>
      <c r="C25" s="1" t="s">
        <v>10</v>
      </c>
      <c r="D25" s="141">
        <f t="shared" si="6"/>
        <v>12.25</v>
      </c>
      <c r="E25" s="141">
        <v>11</v>
      </c>
      <c r="F25" s="141">
        <v>13</v>
      </c>
      <c r="G25" s="141">
        <v>13</v>
      </c>
      <c r="H25" s="141">
        <v>12</v>
      </c>
      <c r="P25" s="77"/>
      <c r="Q25" s="159">
        <f t="shared" si="10"/>
        <v>13.4</v>
      </c>
      <c r="R25" s="141">
        <v>7</v>
      </c>
      <c r="S25" s="141">
        <v>13</v>
      </c>
      <c r="T25" s="141">
        <v>14</v>
      </c>
      <c r="U25" s="141">
        <v>11</v>
      </c>
      <c r="V25" s="141">
        <v>15</v>
      </c>
      <c r="W25" s="141">
        <v>12</v>
      </c>
      <c r="X25" s="141">
        <v>15</v>
      </c>
      <c r="Y25" s="141">
        <v>13</v>
      </c>
      <c r="Z25" s="141">
        <v>12</v>
      </c>
      <c r="AA25" s="141">
        <v>12</v>
      </c>
      <c r="AB25" s="141">
        <v>7</v>
      </c>
      <c r="AC25" s="154">
        <v>3</v>
      </c>
      <c r="AD25" s="159">
        <v>12.4</v>
      </c>
      <c r="AE25" s="141">
        <v>15</v>
      </c>
      <c r="AF25" s="141">
        <v>14</v>
      </c>
      <c r="AG25" s="141">
        <v>13</v>
      </c>
      <c r="AH25" s="141">
        <v>9</v>
      </c>
      <c r="AI25" s="141">
        <v>10</v>
      </c>
      <c r="AJ25" s="141">
        <v>10</v>
      </c>
      <c r="AK25" s="141">
        <v>10</v>
      </c>
      <c r="AL25" s="141">
        <v>11</v>
      </c>
      <c r="AM25" s="141">
        <v>12</v>
      </c>
      <c r="AN25" s="141">
        <v>11</v>
      </c>
      <c r="AO25" s="141">
        <v>6</v>
      </c>
      <c r="AP25" s="141">
        <v>3</v>
      </c>
      <c r="AQ25" s="9">
        <f t="shared" si="13"/>
        <v>12.3</v>
      </c>
      <c r="AR25" s="3">
        <v>11</v>
      </c>
      <c r="AS25" s="3">
        <v>7</v>
      </c>
      <c r="AT25" s="3">
        <v>10</v>
      </c>
      <c r="AU25" s="3">
        <v>10</v>
      </c>
      <c r="AV25" s="3">
        <v>7</v>
      </c>
      <c r="AW25" s="3">
        <v>6</v>
      </c>
      <c r="AX25" s="3">
        <v>9</v>
      </c>
      <c r="AY25" s="3">
        <v>13</v>
      </c>
      <c r="AZ25" s="3">
        <v>12</v>
      </c>
      <c r="BA25" s="3">
        <v>15</v>
      </c>
      <c r="BB25" s="3">
        <v>13</v>
      </c>
      <c r="BC25" s="3">
        <v>10</v>
      </c>
      <c r="BD25" s="117">
        <v>10.5</v>
      </c>
      <c r="BE25" s="3">
        <v>7</v>
      </c>
      <c r="BF25" s="3">
        <v>4</v>
      </c>
      <c r="BG25" s="3">
        <v>5</v>
      </c>
      <c r="BH25" s="3">
        <v>8</v>
      </c>
      <c r="BI25" s="3">
        <v>3</v>
      </c>
      <c r="BJ25" s="3">
        <v>2</v>
      </c>
      <c r="BK25" s="3">
        <v>12</v>
      </c>
      <c r="BL25" s="3">
        <v>14</v>
      </c>
      <c r="BM25" s="3">
        <v>13</v>
      </c>
      <c r="BN25" s="3">
        <v>12</v>
      </c>
      <c r="BO25" s="3">
        <v>12</v>
      </c>
      <c r="BP25" s="20">
        <v>13</v>
      </c>
      <c r="BQ25" s="65">
        <v>9</v>
      </c>
      <c r="BR25" s="3">
        <v>5</v>
      </c>
      <c r="BS25" s="3">
        <v>4</v>
      </c>
      <c r="BT25" s="3">
        <v>10</v>
      </c>
      <c r="BU25" s="3">
        <v>6</v>
      </c>
      <c r="BV25" s="3">
        <v>9</v>
      </c>
      <c r="BW25" s="3">
        <v>10</v>
      </c>
      <c r="BX25" s="3">
        <v>9</v>
      </c>
      <c r="BY25" s="3">
        <v>10</v>
      </c>
      <c r="BZ25" s="3">
        <v>11</v>
      </c>
      <c r="CA25" s="3">
        <v>12</v>
      </c>
      <c r="CB25" s="3">
        <v>3</v>
      </c>
      <c r="CC25" s="3">
        <v>1</v>
      </c>
      <c r="CD25" s="16">
        <v>5.4450000000000003</v>
      </c>
      <c r="CE25" s="3">
        <v>4</v>
      </c>
      <c r="CF25" s="3">
        <v>6</v>
      </c>
      <c r="CG25" s="3">
        <v>5</v>
      </c>
      <c r="CH25" s="3">
        <v>6</v>
      </c>
      <c r="CI25" s="3">
        <v>3</v>
      </c>
      <c r="CJ25" s="3">
        <v>6</v>
      </c>
      <c r="CK25" s="3">
        <v>5</v>
      </c>
      <c r="CL25" s="66">
        <v>4.5</v>
      </c>
      <c r="CM25" s="66">
        <v>7.2</v>
      </c>
      <c r="CN25" s="66">
        <v>3.75</v>
      </c>
      <c r="CO25" s="3">
        <v>3</v>
      </c>
      <c r="CP25" s="3">
        <v>1</v>
      </c>
      <c r="CQ25" s="9">
        <v>7.2</v>
      </c>
      <c r="CR25" s="3">
        <v>4.5999999999999996</v>
      </c>
      <c r="CS25" s="3">
        <v>6</v>
      </c>
      <c r="CT25" s="3">
        <v>8.6</v>
      </c>
      <c r="CU25" s="3">
        <v>5</v>
      </c>
      <c r="CV25" s="3">
        <v>6.6</v>
      </c>
      <c r="CW25" s="3">
        <v>4.5999999999999996</v>
      </c>
      <c r="CX25" s="3">
        <v>8</v>
      </c>
      <c r="CY25" s="3">
        <v>6</v>
      </c>
      <c r="CZ25" s="3">
        <v>9.6</v>
      </c>
      <c r="DA25" s="3">
        <v>5</v>
      </c>
      <c r="DB25" s="3">
        <v>5</v>
      </c>
      <c r="DC25" s="3">
        <v>3</v>
      </c>
      <c r="DD25" s="9">
        <v>7.1400000000000006</v>
      </c>
      <c r="DE25" s="3">
        <v>5</v>
      </c>
      <c r="DF25" s="3">
        <v>6</v>
      </c>
      <c r="DG25" s="3">
        <v>7</v>
      </c>
      <c r="DH25" s="3">
        <v>3</v>
      </c>
      <c r="DI25" s="3">
        <v>6</v>
      </c>
      <c r="DJ25" s="3">
        <v>7.6</v>
      </c>
      <c r="DK25" s="3">
        <v>10.6</v>
      </c>
      <c r="DL25" s="3">
        <v>6</v>
      </c>
      <c r="DM25" s="3">
        <v>8.6</v>
      </c>
      <c r="DN25" s="3">
        <v>6.6</v>
      </c>
      <c r="DO25" s="3">
        <v>5</v>
      </c>
      <c r="DP25" s="20">
        <v>0</v>
      </c>
      <c r="DQ25" s="9">
        <v>10.1</v>
      </c>
      <c r="DR25" s="3">
        <v>8</v>
      </c>
      <c r="DS25" s="3">
        <v>6</v>
      </c>
      <c r="DT25" s="3">
        <v>9</v>
      </c>
      <c r="DU25" s="3">
        <v>8</v>
      </c>
      <c r="DV25" s="3">
        <v>4</v>
      </c>
      <c r="DW25" s="3">
        <v>9</v>
      </c>
      <c r="DX25" s="3">
        <v>10</v>
      </c>
      <c r="DY25" s="3">
        <v>11</v>
      </c>
      <c r="DZ25" s="3">
        <v>13</v>
      </c>
      <c r="EA25" s="3">
        <v>10</v>
      </c>
      <c r="EB25" s="3">
        <v>6</v>
      </c>
      <c r="EC25" s="3">
        <v>7</v>
      </c>
      <c r="ED25" s="9">
        <f t="shared" si="12"/>
        <v>7.6</v>
      </c>
      <c r="EE25" s="3">
        <v>2</v>
      </c>
      <c r="EF25" s="3">
        <v>6</v>
      </c>
      <c r="EG25" s="3">
        <v>8</v>
      </c>
      <c r="EH25" s="3">
        <v>4</v>
      </c>
      <c r="EI25" s="3">
        <v>6</v>
      </c>
      <c r="EJ25" s="3">
        <v>5</v>
      </c>
      <c r="EK25" s="3">
        <v>6</v>
      </c>
      <c r="EL25" s="3">
        <v>4</v>
      </c>
      <c r="EM25" s="3">
        <v>5</v>
      </c>
      <c r="EN25" s="3">
        <v>10</v>
      </c>
      <c r="EO25" s="3">
        <v>11</v>
      </c>
      <c r="EP25" s="3">
        <v>9</v>
      </c>
      <c r="EQ25" s="9">
        <f t="shared" si="14"/>
        <v>10.1</v>
      </c>
      <c r="ER25" s="3">
        <v>11</v>
      </c>
      <c r="ES25" s="3">
        <v>11</v>
      </c>
      <c r="ET25" s="3">
        <v>11</v>
      </c>
      <c r="EU25" s="3">
        <v>9</v>
      </c>
      <c r="EV25" s="3">
        <v>11</v>
      </c>
      <c r="EW25" s="3">
        <v>9</v>
      </c>
      <c r="EX25" s="3">
        <v>7</v>
      </c>
      <c r="EY25" s="3">
        <v>10</v>
      </c>
      <c r="EZ25" s="3">
        <v>8</v>
      </c>
      <c r="FA25" s="3">
        <v>8</v>
      </c>
      <c r="FB25" s="3">
        <v>5</v>
      </c>
      <c r="FC25" s="3">
        <v>1</v>
      </c>
      <c r="FD25" s="69">
        <f t="shared" si="9"/>
        <v>12.2</v>
      </c>
      <c r="FE25" s="3">
        <v>7</v>
      </c>
      <c r="FF25" s="3">
        <v>5</v>
      </c>
      <c r="FG25" s="3">
        <v>7</v>
      </c>
      <c r="FH25" s="3">
        <v>11</v>
      </c>
      <c r="FI25" s="3">
        <v>12</v>
      </c>
      <c r="FJ25" s="3">
        <v>10</v>
      </c>
      <c r="FK25" s="3">
        <v>10</v>
      </c>
      <c r="FL25" s="3">
        <v>13</v>
      </c>
      <c r="FM25" s="3">
        <v>16</v>
      </c>
      <c r="FN25" s="3">
        <v>13</v>
      </c>
      <c r="FO25" s="3">
        <v>9</v>
      </c>
      <c r="FP25" s="3">
        <v>9</v>
      </c>
      <c r="FQ25" s="16">
        <v>8.8000000000000007</v>
      </c>
      <c r="FR25" s="102"/>
      <c r="GA25" s="34"/>
    </row>
    <row r="26" spans="1:183" x14ac:dyDescent="0.25">
      <c r="A26" s="6" t="s">
        <v>176</v>
      </c>
      <c r="B26" s="25" t="s">
        <v>190</v>
      </c>
      <c r="C26" s="1" t="s">
        <v>189</v>
      </c>
      <c r="D26" s="141">
        <f t="shared" si="6"/>
        <v>17.5</v>
      </c>
      <c r="E26" s="141">
        <v>14.04</v>
      </c>
      <c r="F26" s="141">
        <v>18.38</v>
      </c>
      <c r="G26" s="141">
        <v>22.59</v>
      </c>
      <c r="H26" s="141">
        <v>14.99</v>
      </c>
      <c r="P26" s="77"/>
      <c r="Q26" s="159">
        <f t="shared" si="10"/>
        <v>14.732999999999999</v>
      </c>
      <c r="R26" s="141">
        <v>4</v>
      </c>
      <c r="S26" s="141">
        <v>10.86</v>
      </c>
      <c r="T26" s="141">
        <v>11.53</v>
      </c>
      <c r="U26" s="141">
        <v>9.5299999999999994</v>
      </c>
      <c r="V26" s="141">
        <v>8.7899999999999991</v>
      </c>
      <c r="W26" s="141">
        <v>9.7899999999999991</v>
      </c>
      <c r="X26" s="141">
        <v>11.79</v>
      </c>
      <c r="Y26" s="141">
        <v>16.66</v>
      </c>
      <c r="Z26" s="141">
        <v>19.190000000000001</v>
      </c>
      <c r="AA26" s="141">
        <v>22.19</v>
      </c>
      <c r="AB26" s="141">
        <v>14</v>
      </c>
      <c r="AC26" s="154">
        <v>9</v>
      </c>
      <c r="AD26" s="159">
        <v>15.703000000000003</v>
      </c>
      <c r="AE26" s="141">
        <v>5.66</v>
      </c>
      <c r="AF26" s="141">
        <v>10.66</v>
      </c>
      <c r="AG26" s="141">
        <v>14</v>
      </c>
      <c r="AH26" s="141">
        <v>12</v>
      </c>
      <c r="AI26" s="141">
        <v>17.46</v>
      </c>
      <c r="AJ26" s="141">
        <v>16.46</v>
      </c>
      <c r="AK26" s="141">
        <v>19.46</v>
      </c>
      <c r="AL26" s="141">
        <v>19.329999999999998</v>
      </c>
      <c r="AM26" s="141">
        <v>17</v>
      </c>
      <c r="AN26" s="141">
        <v>18</v>
      </c>
      <c r="AO26" s="141">
        <v>4</v>
      </c>
      <c r="AP26" s="141">
        <v>3</v>
      </c>
      <c r="AQ26" s="9">
        <f t="shared" si="13"/>
        <v>10.988999999999999</v>
      </c>
      <c r="AR26" s="3">
        <v>3</v>
      </c>
      <c r="AS26" s="3">
        <v>10.27</v>
      </c>
      <c r="AT26" s="3">
        <v>16.27</v>
      </c>
      <c r="AU26" s="3">
        <v>15.27</v>
      </c>
      <c r="AV26" s="3">
        <v>12.27</v>
      </c>
      <c r="AW26" s="3">
        <v>9.27</v>
      </c>
      <c r="AX26" s="3">
        <v>9.27</v>
      </c>
      <c r="AY26" s="3">
        <v>8.27</v>
      </c>
      <c r="AZ26" s="3">
        <v>11</v>
      </c>
      <c r="BA26" s="3">
        <v>12</v>
      </c>
      <c r="BB26" s="3">
        <v>3</v>
      </c>
      <c r="BC26" s="3">
        <v>0</v>
      </c>
      <c r="BD26" s="117">
        <v>9.7430000000000003</v>
      </c>
      <c r="BE26" s="3">
        <v>13</v>
      </c>
      <c r="BF26" s="3">
        <v>12</v>
      </c>
      <c r="BG26" s="3">
        <v>8</v>
      </c>
      <c r="BH26" s="3">
        <v>6</v>
      </c>
      <c r="BI26" s="3">
        <v>6.8</v>
      </c>
      <c r="BJ26" s="3">
        <v>7.8</v>
      </c>
      <c r="BK26" s="3">
        <v>4.8</v>
      </c>
      <c r="BL26" s="3">
        <v>9.01</v>
      </c>
      <c r="BM26" s="3">
        <v>11.01</v>
      </c>
      <c r="BN26" s="3">
        <v>9.67</v>
      </c>
      <c r="BO26" s="3">
        <v>5.67</v>
      </c>
      <c r="BP26" s="20">
        <v>3.67</v>
      </c>
      <c r="BQ26" s="65">
        <v>11.404</v>
      </c>
      <c r="BR26" s="3">
        <v>3.94</v>
      </c>
      <c r="BS26" s="3">
        <v>3.94</v>
      </c>
      <c r="BT26" s="3">
        <v>7.94</v>
      </c>
      <c r="BU26" s="3">
        <v>11.94</v>
      </c>
      <c r="BV26" s="3">
        <v>10.87</v>
      </c>
      <c r="BW26" s="3">
        <v>11.87</v>
      </c>
      <c r="BX26" s="3">
        <v>14.87</v>
      </c>
      <c r="BY26" s="3">
        <v>13.67</v>
      </c>
      <c r="BZ26" s="3">
        <v>11</v>
      </c>
      <c r="CA26" s="3">
        <v>13</v>
      </c>
      <c r="CB26" s="3">
        <v>4</v>
      </c>
      <c r="CC26" s="3">
        <v>7</v>
      </c>
      <c r="CD26" s="16">
        <v>12.661</v>
      </c>
      <c r="CE26" s="3">
        <v>9.86</v>
      </c>
      <c r="CF26" s="3">
        <v>10.86</v>
      </c>
      <c r="CG26" s="3">
        <v>8.86</v>
      </c>
      <c r="CH26" s="3">
        <v>9</v>
      </c>
      <c r="CI26" s="3">
        <v>15</v>
      </c>
      <c r="CJ26" s="3">
        <v>13</v>
      </c>
      <c r="CK26" s="3">
        <v>12</v>
      </c>
      <c r="CL26" s="66">
        <v>12.049999999999999</v>
      </c>
      <c r="CM26" s="66">
        <v>15.969999999999999</v>
      </c>
      <c r="CN26" s="66">
        <v>13.01</v>
      </c>
      <c r="CO26" s="3">
        <v>5</v>
      </c>
      <c r="CP26" s="3">
        <v>2</v>
      </c>
      <c r="CQ26" s="9">
        <v>14.466000000000003</v>
      </c>
      <c r="CR26" s="3">
        <v>13</v>
      </c>
      <c r="CS26" s="3">
        <v>14</v>
      </c>
      <c r="CT26" s="3">
        <v>15</v>
      </c>
      <c r="CU26" s="3">
        <v>11</v>
      </c>
      <c r="CV26" s="3">
        <v>11</v>
      </c>
      <c r="CW26" s="3">
        <v>14</v>
      </c>
      <c r="CX26" s="3">
        <v>13</v>
      </c>
      <c r="CY26" s="3">
        <v>12</v>
      </c>
      <c r="CZ26" s="3">
        <v>16</v>
      </c>
      <c r="DA26" s="3">
        <v>13</v>
      </c>
      <c r="DB26" s="3">
        <v>5.33</v>
      </c>
      <c r="DC26" s="3">
        <v>7.33</v>
      </c>
      <c r="DD26" s="9">
        <v>10.366</v>
      </c>
      <c r="DE26" s="3">
        <v>9</v>
      </c>
      <c r="DF26" s="3">
        <v>9</v>
      </c>
      <c r="DG26" s="3">
        <v>7</v>
      </c>
      <c r="DH26" s="3">
        <v>9</v>
      </c>
      <c r="DI26" s="3">
        <v>9</v>
      </c>
      <c r="DJ26" s="3">
        <v>14</v>
      </c>
      <c r="DK26" s="3">
        <v>14</v>
      </c>
      <c r="DL26" s="3">
        <v>8</v>
      </c>
      <c r="DM26" s="3">
        <v>9</v>
      </c>
      <c r="DN26" s="3">
        <v>9</v>
      </c>
      <c r="DO26" s="3">
        <v>3.33</v>
      </c>
      <c r="DP26" s="20">
        <v>3.33</v>
      </c>
      <c r="DQ26" s="9">
        <v>12.903</v>
      </c>
      <c r="DR26" s="3">
        <v>5</v>
      </c>
      <c r="DS26" s="3">
        <v>10</v>
      </c>
      <c r="DT26" s="3">
        <v>13</v>
      </c>
      <c r="DU26" s="3">
        <v>15</v>
      </c>
      <c r="DV26" s="3">
        <v>13</v>
      </c>
      <c r="DW26" s="3">
        <v>16</v>
      </c>
      <c r="DX26" s="3">
        <v>17</v>
      </c>
      <c r="DY26" s="3">
        <v>10</v>
      </c>
      <c r="DZ26" s="3">
        <v>12</v>
      </c>
      <c r="EA26" s="3">
        <v>10.33</v>
      </c>
      <c r="EB26" s="3">
        <v>3.85</v>
      </c>
      <c r="EC26" s="3">
        <v>3.85</v>
      </c>
      <c r="ED26" s="9">
        <f t="shared" si="12"/>
        <v>7.4569999999999981</v>
      </c>
      <c r="EE26" s="3">
        <v>8</v>
      </c>
      <c r="EF26" s="3">
        <v>9</v>
      </c>
      <c r="EG26" s="3">
        <v>7.58</v>
      </c>
      <c r="EH26" s="3">
        <v>5.52</v>
      </c>
      <c r="EI26" s="3">
        <v>5.67</v>
      </c>
      <c r="EJ26" s="3">
        <v>5.6400000000000006</v>
      </c>
      <c r="EK26" s="3">
        <v>9.66</v>
      </c>
      <c r="EL26" s="3">
        <v>7.52</v>
      </c>
      <c r="EM26" s="3">
        <v>7</v>
      </c>
      <c r="EN26" s="3">
        <v>6</v>
      </c>
      <c r="EO26" s="3">
        <v>0.99</v>
      </c>
      <c r="EP26" s="3">
        <v>1.99</v>
      </c>
      <c r="EQ26" s="89"/>
      <c r="ER26" s="87"/>
      <c r="ES26" s="87"/>
      <c r="ET26" s="87"/>
      <c r="EU26" s="87"/>
      <c r="EV26" s="87"/>
      <c r="EW26" s="87"/>
      <c r="EX26" s="87"/>
      <c r="EY26" s="87"/>
      <c r="EZ26" s="87"/>
      <c r="FA26" s="87"/>
      <c r="FB26" s="87"/>
      <c r="FC26" s="87"/>
      <c r="FD26" s="97"/>
      <c r="FE26" s="87"/>
      <c r="FF26" s="87"/>
      <c r="FG26" s="87"/>
      <c r="FH26" s="87"/>
      <c r="FI26" s="87"/>
      <c r="FJ26" s="87"/>
      <c r="FK26" s="87"/>
      <c r="FL26" s="87"/>
      <c r="FM26" s="87"/>
      <c r="FN26" s="87"/>
      <c r="FO26" s="87"/>
      <c r="FP26" s="87"/>
      <c r="FQ26" s="91"/>
      <c r="FR26" s="102"/>
      <c r="GA26" s="34"/>
    </row>
    <row r="27" spans="1:183" x14ac:dyDescent="0.25">
      <c r="A27" s="6" t="s">
        <v>270</v>
      </c>
      <c r="B27" s="25" t="s">
        <v>278</v>
      </c>
      <c r="C27" s="1" t="s">
        <v>277</v>
      </c>
      <c r="D27" s="141">
        <f t="shared" si="6"/>
        <v>24.5</v>
      </c>
      <c r="E27" s="141">
        <v>24</v>
      </c>
      <c r="F27" s="141">
        <v>24</v>
      </c>
      <c r="G27" s="141">
        <v>25</v>
      </c>
      <c r="H27" s="141">
        <v>25</v>
      </c>
      <c r="P27" s="77"/>
      <c r="Q27" s="159">
        <f t="shared" si="10"/>
        <v>26.180999999999994</v>
      </c>
      <c r="R27" s="141">
        <v>26.8</v>
      </c>
      <c r="S27" s="141">
        <v>26.8</v>
      </c>
      <c r="T27" s="141">
        <v>26.1</v>
      </c>
      <c r="U27" s="141">
        <v>27.73</v>
      </c>
      <c r="V27" s="141">
        <v>27.73</v>
      </c>
      <c r="W27" s="141">
        <v>24.73</v>
      </c>
      <c r="X27" s="141">
        <v>23.73</v>
      </c>
      <c r="Y27" s="141">
        <v>24.73</v>
      </c>
      <c r="Z27" s="141">
        <v>20.73</v>
      </c>
      <c r="AA27" s="141">
        <v>21.73</v>
      </c>
      <c r="AB27" s="141">
        <v>9</v>
      </c>
      <c r="AC27" s="154">
        <v>2</v>
      </c>
      <c r="AD27" s="159">
        <v>23.2</v>
      </c>
      <c r="AE27" s="141">
        <v>20</v>
      </c>
      <c r="AF27" s="141">
        <v>21</v>
      </c>
      <c r="AG27" s="141">
        <v>26</v>
      </c>
      <c r="AH27" s="141">
        <v>26</v>
      </c>
      <c r="AI27" s="141">
        <v>18</v>
      </c>
      <c r="AJ27" s="141">
        <v>22</v>
      </c>
      <c r="AK27" s="141">
        <v>22</v>
      </c>
      <c r="AL27" s="141">
        <v>22</v>
      </c>
      <c r="AM27" s="141">
        <v>24</v>
      </c>
      <c r="AN27" s="141">
        <v>26</v>
      </c>
      <c r="AO27" s="141">
        <v>3</v>
      </c>
      <c r="AP27" s="141">
        <v>2</v>
      </c>
      <c r="AQ27" s="9">
        <f t="shared" si="13"/>
        <v>19.253999999999998</v>
      </c>
      <c r="AR27" s="3">
        <v>18</v>
      </c>
      <c r="AS27" s="3">
        <v>19</v>
      </c>
      <c r="AT27" s="3">
        <v>17</v>
      </c>
      <c r="AU27" s="3">
        <v>19</v>
      </c>
      <c r="AV27" s="3">
        <v>20</v>
      </c>
      <c r="AW27" s="3">
        <v>20</v>
      </c>
      <c r="AX27" s="3">
        <v>20</v>
      </c>
      <c r="AY27" s="3">
        <v>19.54</v>
      </c>
      <c r="AZ27" s="3">
        <v>19</v>
      </c>
      <c r="BA27" s="3">
        <v>19</v>
      </c>
      <c r="BB27" s="3">
        <v>2</v>
      </c>
      <c r="BC27" s="3">
        <v>0</v>
      </c>
      <c r="BD27" s="117">
        <v>15.200999999999999</v>
      </c>
      <c r="BE27" s="3">
        <v>11</v>
      </c>
      <c r="BF27" s="3">
        <v>13</v>
      </c>
      <c r="BG27" s="3">
        <v>17</v>
      </c>
      <c r="BH27" s="3">
        <v>18</v>
      </c>
      <c r="BI27" s="3">
        <v>13</v>
      </c>
      <c r="BJ27" s="3">
        <v>12</v>
      </c>
      <c r="BK27" s="3">
        <v>12</v>
      </c>
      <c r="BL27" s="3">
        <v>18.670000000000002</v>
      </c>
      <c r="BM27" s="3">
        <v>18.670000000000002</v>
      </c>
      <c r="BN27" s="3">
        <v>14.67</v>
      </c>
      <c r="BO27" s="3">
        <v>4</v>
      </c>
      <c r="BP27" s="20">
        <v>0</v>
      </c>
      <c r="BQ27" s="65">
        <v>10.1</v>
      </c>
      <c r="BR27" s="3">
        <v>6</v>
      </c>
      <c r="BS27" s="3">
        <v>11</v>
      </c>
      <c r="BT27" s="3">
        <v>10</v>
      </c>
      <c r="BU27" s="3">
        <v>10</v>
      </c>
      <c r="BV27" s="3">
        <v>8</v>
      </c>
      <c r="BW27" s="3">
        <v>8</v>
      </c>
      <c r="BX27" s="3">
        <v>7</v>
      </c>
      <c r="BY27" s="3">
        <v>13</v>
      </c>
      <c r="BZ27" s="3">
        <v>16</v>
      </c>
      <c r="CA27" s="3">
        <v>12</v>
      </c>
      <c r="CB27" s="3">
        <v>0</v>
      </c>
      <c r="CC27" s="3">
        <v>0</v>
      </c>
      <c r="CD27" s="16">
        <v>7.6009999999999991</v>
      </c>
      <c r="CE27" s="3">
        <v>0</v>
      </c>
      <c r="CF27" s="3">
        <v>7</v>
      </c>
      <c r="CG27" s="3">
        <v>9</v>
      </c>
      <c r="CH27" s="3">
        <v>5</v>
      </c>
      <c r="CI27" s="3">
        <v>5</v>
      </c>
      <c r="CJ27" s="3">
        <v>9.33</v>
      </c>
      <c r="CK27" s="3">
        <v>12.67</v>
      </c>
      <c r="CL27" s="66">
        <v>4.2699999999999996</v>
      </c>
      <c r="CM27" s="66">
        <v>7.65</v>
      </c>
      <c r="CN27" s="66">
        <v>16.09</v>
      </c>
      <c r="CO27" s="3">
        <v>0</v>
      </c>
      <c r="CP27" s="3">
        <v>0</v>
      </c>
      <c r="CQ27" s="9">
        <v>6.2250000000000005</v>
      </c>
      <c r="CR27" s="3">
        <v>4</v>
      </c>
      <c r="CS27" s="3">
        <v>9</v>
      </c>
      <c r="CT27" s="3">
        <v>6</v>
      </c>
      <c r="CU27" s="3">
        <v>5.2</v>
      </c>
      <c r="CV27" s="3">
        <v>2.2000000000000002</v>
      </c>
      <c r="CW27" s="3">
        <v>6.2</v>
      </c>
      <c r="CX27" s="3">
        <v>5.53</v>
      </c>
      <c r="CY27" s="3">
        <v>2.5299999999999998</v>
      </c>
      <c r="CZ27" s="3">
        <v>4.53</v>
      </c>
      <c r="DA27" s="3">
        <v>9.5299999999999994</v>
      </c>
      <c r="DB27" s="3">
        <v>6.53</v>
      </c>
      <c r="DC27" s="3">
        <v>1</v>
      </c>
      <c r="DD27" s="9">
        <v>6.18</v>
      </c>
      <c r="DE27" s="3">
        <v>0</v>
      </c>
      <c r="DF27" s="3">
        <v>3</v>
      </c>
      <c r="DG27" s="3">
        <v>4</v>
      </c>
      <c r="DH27" s="3">
        <v>5</v>
      </c>
      <c r="DI27" s="3">
        <v>7</v>
      </c>
      <c r="DJ27" s="3">
        <v>8</v>
      </c>
      <c r="DK27" s="3">
        <v>10</v>
      </c>
      <c r="DL27" s="3">
        <v>7.4</v>
      </c>
      <c r="DM27" s="3">
        <v>6.4</v>
      </c>
      <c r="DN27" s="3">
        <v>6</v>
      </c>
      <c r="DO27" s="3">
        <v>3</v>
      </c>
      <c r="DP27" s="20">
        <v>2</v>
      </c>
      <c r="DQ27" s="89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9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9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9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91"/>
      <c r="FR27" s="102"/>
      <c r="GA27" s="34"/>
    </row>
    <row r="28" spans="1:183" x14ac:dyDescent="0.25">
      <c r="A28" s="6" t="s">
        <v>176</v>
      </c>
      <c r="B28" s="25" t="s">
        <v>195</v>
      </c>
      <c r="C28" s="1" t="s">
        <v>194</v>
      </c>
      <c r="D28" s="141">
        <f t="shared" si="6"/>
        <v>2.75</v>
      </c>
      <c r="E28" s="141">
        <v>0</v>
      </c>
      <c r="F28" s="141">
        <v>0</v>
      </c>
      <c r="G28" s="141">
        <v>3</v>
      </c>
      <c r="H28" s="141">
        <v>8</v>
      </c>
      <c r="P28" s="77"/>
      <c r="Q28" s="159">
        <f t="shared" si="10"/>
        <v>0</v>
      </c>
      <c r="R28" s="141">
        <v>0</v>
      </c>
      <c r="S28" s="141">
        <v>0</v>
      </c>
      <c r="T28" s="141">
        <v>0</v>
      </c>
      <c r="U28" s="141">
        <v>0</v>
      </c>
      <c r="V28" s="141">
        <v>0</v>
      </c>
      <c r="W28" s="141">
        <v>0</v>
      </c>
      <c r="X28" s="141">
        <v>0</v>
      </c>
      <c r="Y28" s="141">
        <v>0</v>
      </c>
      <c r="Z28" s="141">
        <v>0</v>
      </c>
      <c r="AA28" s="141">
        <v>0</v>
      </c>
      <c r="AB28" s="141">
        <v>0</v>
      </c>
      <c r="AC28" s="154">
        <v>0</v>
      </c>
      <c r="AD28" s="159">
        <v>0</v>
      </c>
      <c r="AE28" s="141">
        <v>0</v>
      </c>
      <c r="AF28" s="141">
        <v>0</v>
      </c>
      <c r="AG28" s="141">
        <v>0</v>
      </c>
      <c r="AH28" s="141">
        <v>0</v>
      </c>
      <c r="AI28" s="141">
        <v>0</v>
      </c>
      <c r="AJ28" s="141">
        <v>0</v>
      </c>
      <c r="AK28" s="141">
        <v>0</v>
      </c>
      <c r="AL28" s="141">
        <v>0</v>
      </c>
      <c r="AM28" s="141">
        <v>0</v>
      </c>
      <c r="AN28" s="141">
        <v>0</v>
      </c>
      <c r="AO28" s="141">
        <v>0</v>
      </c>
      <c r="AP28" s="141">
        <v>0</v>
      </c>
      <c r="AQ28" s="9">
        <f t="shared" si="13"/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117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20">
        <v>0</v>
      </c>
      <c r="BQ28" s="65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16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66">
        <v>0</v>
      </c>
      <c r="CM28" s="66">
        <v>0</v>
      </c>
      <c r="CN28" s="66">
        <v>0</v>
      </c>
      <c r="CO28" s="3">
        <v>0</v>
      </c>
      <c r="CP28" s="3">
        <v>0</v>
      </c>
      <c r="CQ28" s="9">
        <v>6.008</v>
      </c>
      <c r="CR28" s="3">
        <v>4.2</v>
      </c>
      <c r="CS28" s="3">
        <v>8.1999999999999993</v>
      </c>
      <c r="CT28" s="3">
        <v>8.1999999999999993</v>
      </c>
      <c r="CU28" s="3">
        <v>7.2</v>
      </c>
      <c r="CV28" s="3">
        <v>3.2</v>
      </c>
      <c r="CW28" s="3">
        <v>4.3600000000000003</v>
      </c>
      <c r="CX28" s="3">
        <v>4.3600000000000003</v>
      </c>
      <c r="CY28" s="3">
        <v>6</v>
      </c>
      <c r="CZ28" s="3">
        <v>9.36</v>
      </c>
      <c r="DA28" s="3">
        <v>5</v>
      </c>
      <c r="DB28" s="3">
        <v>0</v>
      </c>
      <c r="DC28" s="3">
        <v>0</v>
      </c>
      <c r="DD28" s="9">
        <v>6.160000000000001</v>
      </c>
      <c r="DE28" s="3">
        <v>6</v>
      </c>
      <c r="DF28" s="3">
        <v>7</v>
      </c>
      <c r="DG28" s="3">
        <v>10</v>
      </c>
      <c r="DH28" s="3">
        <v>8</v>
      </c>
      <c r="DI28" s="3">
        <v>4</v>
      </c>
      <c r="DJ28" s="3">
        <v>6</v>
      </c>
      <c r="DK28" s="3">
        <v>3</v>
      </c>
      <c r="DL28" s="3">
        <v>7.2</v>
      </c>
      <c r="DM28" s="3">
        <v>5.2</v>
      </c>
      <c r="DN28" s="3">
        <v>5.2</v>
      </c>
      <c r="DO28" s="3">
        <v>0</v>
      </c>
      <c r="DP28" s="20">
        <v>0</v>
      </c>
      <c r="DQ28" s="9">
        <v>11.4</v>
      </c>
      <c r="DR28" s="3">
        <v>7</v>
      </c>
      <c r="DS28" s="3">
        <v>12</v>
      </c>
      <c r="DT28" s="3">
        <v>13</v>
      </c>
      <c r="DU28" s="3">
        <v>13</v>
      </c>
      <c r="DV28" s="3">
        <v>13</v>
      </c>
      <c r="DW28" s="3">
        <v>12</v>
      </c>
      <c r="DX28" s="3">
        <v>14</v>
      </c>
      <c r="DY28" s="3">
        <v>14</v>
      </c>
      <c r="DZ28" s="3">
        <v>10</v>
      </c>
      <c r="EA28" s="3">
        <v>6</v>
      </c>
      <c r="EB28" s="3">
        <v>0</v>
      </c>
      <c r="EC28" s="3">
        <v>0</v>
      </c>
      <c r="ED28" s="9">
        <f t="shared" si="12"/>
        <v>8.9</v>
      </c>
      <c r="EE28" s="3">
        <v>8</v>
      </c>
      <c r="EF28" s="3">
        <v>9</v>
      </c>
      <c r="EG28" s="3">
        <v>9</v>
      </c>
      <c r="EH28" s="3">
        <v>9</v>
      </c>
      <c r="EI28" s="3">
        <v>11</v>
      </c>
      <c r="EJ28" s="3">
        <v>8</v>
      </c>
      <c r="EK28" s="3">
        <v>10</v>
      </c>
      <c r="EL28" s="3">
        <v>8</v>
      </c>
      <c r="EM28" s="3">
        <v>9</v>
      </c>
      <c r="EN28" s="3">
        <v>8</v>
      </c>
      <c r="EO28" s="3">
        <v>0</v>
      </c>
      <c r="EP28" s="3">
        <v>0</v>
      </c>
      <c r="EQ28" s="89"/>
      <c r="ER28" s="87"/>
      <c r="ES28" s="87"/>
      <c r="ET28" s="87"/>
      <c r="EU28" s="87"/>
      <c r="EV28" s="87"/>
      <c r="EW28" s="87"/>
      <c r="EX28" s="87"/>
      <c r="EY28" s="87"/>
      <c r="EZ28" s="87"/>
      <c r="FA28" s="87"/>
      <c r="FB28" s="87"/>
      <c r="FC28" s="87"/>
      <c r="FD28" s="97"/>
      <c r="FE28" s="87"/>
      <c r="FF28" s="87"/>
      <c r="FG28" s="87"/>
      <c r="FH28" s="87"/>
      <c r="FI28" s="87"/>
      <c r="FJ28" s="87"/>
      <c r="FK28" s="87"/>
      <c r="FL28" s="87"/>
      <c r="FM28" s="87"/>
      <c r="FN28" s="87"/>
      <c r="FO28" s="87"/>
      <c r="FP28" s="87"/>
      <c r="FQ28" s="91"/>
      <c r="FR28" s="102"/>
      <c r="GA28" s="34"/>
    </row>
    <row r="29" spans="1:183" x14ac:dyDescent="0.25">
      <c r="A29" s="5" t="s">
        <v>89</v>
      </c>
      <c r="B29" s="25" t="s">
        <v>86</v>
      </c>
      <c r="C29" s="1" t="s">
        <v>84</v>
      </c>
      <c r="D29" s="141">
        <f t="shared" si="6"/>
        <v>11.75</v>
      </c>
      <c r="E29" s="141">
        <v>6</v>
      </c>
      <c r="F29" s="141">
        <v>10</v>
      </c>
      <c r="G29" s="141">
        <v>17</v>
      </c>
      <c r="H29" s="141">
        <v>14</v>
      </c>
      <c r="P29" s="77"/>
      <c r="Q29" s="159">
        <f t="shared" si="10"/>
        <v>5</v>
      </c>
      <c r="R29" s="141">
        <v>0</v>
      </c>
      <c r="S29" s="141">
        <v>1</v>
      </c>
      <c r="T29" s="141">
        <v>6</v>
      </c>
      <c r="U29" s="141">
        <v>8</v>
      </c>
      <c r="V29" s="141">
        <v>6</v>
      </c>
      <c r="W29" s="141">
        <v>2</v>
      </c>
      <c r="X29" s="141">
        <v>1</v>
      </c>
      <c r="Y29" s="141">
        <v>2</v>
      </c>
      <c r="Z29" s="141">
        <v>3</v>
      </c>
      <c r="AA29" s="141">
        <v>7</v>
      </c>
      <c r="AB29" s="141">
        <v>7</v>
      </c>
      <c r="AC29" s="154">
        <v>7</v>
      </c>
      <c r="AD29" s="159">
        <v>13.4</v>
      </c>
      <c r="AE29" s="141">
        <v>8</v>
      </c>
      <c r="AF29" s="141">
        <v>9</v>
      </c>
      <c r="AG29" s="141">
        <v>7</v>
      </c>
      <c r="AH29" s="141">
        <v>8</v>
      </c>
      <c r="AI29" s="141">
        <v>5</v>
      </c>
      <c r="AJ29" s="141">
        <v>15</v>
      </c>
      <c r="AK29" s="141">
        <v>14</v>
      </c>
      <c r="AL29" s="141">
        <v>15</v>
      </c>
      <c r="AM29" s="141">
        <v>14</v>
      </c>
      <c r="AN29" s="141">
        <v>15</v>
      </c>
      <c r="AO29" s="141">
        <v>17</v>
      </c>
      <c r="AP29" s="141">
        <v>7</v>
      </c>
      <c r="AQ29" s="9">
        <f t="shared" si="13"/>
        <v>10</v>
      </c>
      <c r="AR29" s="3">
        <v>1</v>
      </c>
      <c r="AS29" s="3">
        <v>1</v>
      </c>
      <c r="AT29" s="3">
        <v>1</v>
      </c>
      <c r="AU29" s="3">
        <v>14</v>
      </c>
      <c r="AV29" s="3">
        <v>14</v>
      </c>
      <c r="AW29" s="3">
        <v>16</v>
      </c>
      <c r="AX29" s="3">
        <v>14</v>
      </c>
      <c r="AY29" s="3">
        <v>14</v>
      </c>
      <c r="AZ29" s="3">
        <v>13</v>
      </c>
      <c r="BA29" s="3">
        <v>10</v>
      </c>
      <c r="BB29" s="3">
        <v>2</v>
      </c>
      <c r="BC29" s="3">
        <v>0</v>
      </c>
      <c r="BD29" s="117">
        <v>3.3</v>
      </c>
      <c r="BE29" s="3">
        <v>2</v>
      </c>
      <c r="BF29" s="3">
        <v>4</v>
      </c>
      <c r="BG29" s="3">
        <v>5</v>
      </c>
      <c r="BH29" s="3">
        <v>4</v>
      </c>
      <c r="BI29" s="3">
        <v>4</v>
      </c>
      <c r="BJ29" s="3">
        <v>3</v>
      </c>
      <c r="BK29" s="3">
        <v>4</v>
      </c>
      <c r="BL29" s="3">
        <v>4</v>
      </c>
      <c r="BM29" s="3">
        <v>3</v>
      </c>
      <c r="BN29" s="3">
        <v>0</v>
      </c>
      <c r="BO29" s="3">
        <v>0</v>
      </c>
      <c r="BP29" s="20">
        <v>0</v>
      </c>
      <c r="BQ29" s="65">
        <v>11.3</v>
      </c>
      <c r="BR29" s="3">
        <v>10</v>
      </c>
      <c r="BS29" s="3">
        <v>11</v>
      </c>
      <c r="BT29" s="3">
        <v>13</v>
      </c>
      <c r="BU29" s="3">
        <v>15</v>
      </c>
      <c r="BV29" s="3">
        <v>14</v>
      </c>
      <c r="BW29" s="3">
        <v>10</v>
      </c>
      <c r="BX29" s="3">
        <v>9</v>
      </c>
      <c r="BY29" s="3">
        <v>10</v>
      </c>
      <c r="BZ29" s="3">
        <v>10</v>
      </c>
      <c r="CA29" s="3">
        <v>10</v>
      </c>
      <c r="CB29" s="3">
        <v>1</v>
      </c>
      <c r="CC29" s="3">
        <v>0</v>
      </c>
      <c r="CD29" s="16">
        <v>24.600999999999999</v>
      </c>
      <c r="CE29" s="3">
        <v>20</v>
      </c>
      <c r="CF29" s="3">
        <v>25.4</v>
      </c>
      <c r="CG29" s="3">
        <v>27.4</v>
      </c>
      <c r="CH29" s="3">
        <v>22.4</v>
      </c>
      <c r="CI29" s="3">
        <v>23</v>
      </c>
      <c r="CJ29" s="3">
        <v>26</v>
      </c>
      <c r="CK29" s="3">
        <v>25</v>
      </c>
      <c r="CL29" s="66">
        <v>27.68</v>
      </c>
      <c r="CM29" s="66">
        <v>26</v>
      </c>
      <c r="CN29" s="66">
        <v>20.13</v>
      </c>
      <c r="CO29" s="3">
        <v>2</v>
      </c>
      <c r="CP29" s="3">
        <v>1</v>
      </c>
      <c r="CQ29" s="9">
        <v>29.1</v>
      </c>
      <c r="CR29" s="3">
        <v>19</v>
      </c>
      <c r="CS29" s="3">
        <v>23</v>
      </c>
      <c r="CT29" s="3">
        <v>33</v>
      </c>
      <c r="CU29" s="3">
        <v>31</v>
      </c>
      <c r="CV29" s="3">
        <v>28</v>
      </c>
      <c r="CW29" s="3">
        <v>34</v>
      </c>
      <c r="CX29" s="3">
        <v>31</v>
      </c>
      <c r="CY29" s="3">
        <v>33</v>
      </c>
      <c r="CZ29" s="3">
        <v>31</v>
      </c>
      <c r="DA29" s="3">
        <v>24</v>
      </c>
      <c r="DB29" s="3">
        <v>2</v>
      </c>
      <c r="DC29" s="3">
        <v>2</v>
      </c>
      <c r="DD29" s="9">
        <v>3.4</v>
      </c>
      <c r="DE29" s="3">
        <v>2</v>
      </c>
      <c r="DF29" s="3">
        <v>5</v>
      </c>
      <c r="DG29" s="3">
        <v>5</v>
      </c>
      <c r="DH29" s="3">
        <v>5</v>
      </c>
      <c r="DI29" s="3">
        <v>4</v>
      </c>
      <c r="DJ29" s="3">
        <v>3</v>
      </c>
      <c r="DK29" s="3">
        <v>2</v>
      </c>
      <c r="DL29" s="3">
        <v>1</v>
      </c>
      <c r="DM29" s="3">
        <v>2</v>
      </c>
      <c r="DN29" s="3">
        <v>2</v>
      </c>
      <c r="DO29" s="3">
        <v>3</v>
      </c>
      <c r="DP29" s="20">
        <v>0</v>
      </c>
      <c r="DQ29" s="9">
        <v>10.1</v>
      </c>
      <c r="DR29" s="3">
        <v>6</v>
      </c>
      <c r="DS29" s="3">
        <v>7</v>
      </c>
      <c r="DT29" s="3">
        <v>9</v>
      </c>
      <c r="DU29" s="3">
        <v>13</v>
      </c>
      <c r="DV29" s="3">
        <v>17</v>
      </c>
      <c r="DW29" s="3">
        <v>12</v>
      </c>
      <c r="DX29" s="3">
        <v>9</v>
      </c>
      <c r="DY29" s="3">
        <v>7</v>
      </c>
      <c r="DZ29" s="3">
        <v>7</v>
      </c>
      <c r="EA29" s="3">
        <v>8</v>
      </c>
      <c r="EB29" s="3">
        <v>6</v>
      </c>
      <c r="EC29" s="3">
        <v>0</v>
      </c>
      <c r="ED29" s="9">
        <f t="shared" si="12"/>
        <v>0.32100000000000001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2</v>
      </c>
      <c r="EO29" s="3">
        <v>1.21</v>
      </c>
      <c r="EP29" s="3">
        <v>0</v>
      </c>
      <c r="EQ29" s="9">
        <f>+IFERROR((SUM(ER29:FC29)/10),0)</f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69">
        <f t="shared" si="9"/>
        <v>0</v>
      </c>
      <c r="FE29" s="3"/>
      <c r="FF29" s="3"/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102"/>
      <c r="FR29" s="102"/>
      <c r="GA29" s="34"/>
    </row>
    <row r="30" spans="1:183" x14ac:dyDescent="0.25">
      <c r="A30" s="6" t="s">
        <v>176</v>
      </c>
      <c r="B30" s="25" t="s">
        <v>181</v>
      </c>
      <c r="C30" s="1" t="s">
        <v>180</v>
      </c>
      <c r="D30" s="141">
        <f t="shared" si="6"/>
        <v>266.75</v>
      </c>
      <c r="E30" s="141">
        <v>244</v>
      </c>
      <c r="F30" s="141">
        <v>270</v>
      </c>
      <c r="G30" s="141">
        <v>273</v>
      </c>
      <c r="H30" s="141">
        <v>280</v>
      </c>
      <c r="P30" s="77"/>
      <c r="Q30" s="159">
        <f t="shared" si="10"/>
        <v>279</v>
      </c>
      <c r="R30" s="141">
        <v>244</v>
      </c>
      <c r="S30" s="141">
        <v>276</v>
      </c>
      <c r="T30" s="141">
        <v>290</v>
      </c>
      <c r="U30" s="141">
        <v>288</v>
      </c>
      <c r="V30" s="141">
        <v>280</v>
      </c>
      <c r="W30" s="141">
        <v>273</v>
      </c>
      <c r="X30" s="141">
        <v>275</v>
      </c>
      <c r="Y30" s="141">
        <v>290</v>
      </c>
      <c r="Z30" s="141">
        <v>291</v>
      </c>
      <c r="AA30" s="141">
        <v>283</v>
      </c>
      <c r="AB30" s="141">
        <v>0</v>
      </c>
      <c r="AC30" s="154">
        <v>0</v>
      </c>
      <c r="AD30" s="159">
        <v>271.8</v>
      </c>
      <c r="AE30" s="141">
        <v>225</v>
      </c>
      <c r="AF30" s="141">
        <v>245</v>
      </c>
      <c r="AG30" s="141">
        <v>274</v>
      </c>
      <c r="AH30" s="141">
        <v>268</v>
      </c>
      <c r="AI30" s="141">
        <v>275</v>
      </c>
      <c r="AJ30" s="141">
        <v>274</v>
      </c>
      <c r="AK30" s="141">
        <v>283</v>
      </c>
      <c r="AL30" s="141">
        <v>287</v>
      </c>
      <c r="AM30" s="141">
        <v>290</v>
      </c>
      <c r="AN30" s="141">
        <v>297</v>
      </c>
      <c r="AO30" s="141">
        <v>0</v>
      </c>
      <c r="AP30" s="141">
        <v>0</v>
      </c>
      <c r="AQ30" s="9">
        <f t="shared" si="13"/>
        <v>224.6</v>
      </c>
      <c r="AR30" s="3">
        <v>220</v>
      </c>
      <c r="AS30" s="3">
        <v>205</v>
      </c>
      <c r="AT30" s="3">
        <v>228</v>
      </c>
      <c r="AU30" s="3">
        <v>230</v>
      </c>
      <c r="AV30" s="3">
        <v>226</v>
      </c>
      <c r="AW30" s="3">
        <v>217</v>
      </c>
      <c r="AX30" s="3">
        <v>229</v>
      </c>
      <c r="AY30" s="3">
        <v>229</v>
      </c>
      <c r="AZ30" s="3">
        <v>236</v>
      </c>
      <c r="BA30" s="3">
        <v>226</v>
      </c>
      <c r="BB30" s="3">
        <v>0</v>
      </c>
      <c r="BC30" s="3">
        <v>0</v>
      </c>
      <c r="BD30" s="117">
        <v>202.2</v>
      </c>
      <c r="BE30" s="3">
        <v>154</v>
      </c>
      <c r="BF30" s="3">
        <v>198</v>
      </c>
      <c r="BG30" s="3">
        <v>201</v>
      </c>
      <c r="BH30" s="3">
        <v>212</v>
      </c>
      <c r="BI30" s="3">
        <v>203</v>
      </c>
      <c r="BJ30" s="3">
        <v>186</v>
      </c>
      <c r="BK30" s="3">
        <v>195</v>
      </c>
      <c r="BL30" s="3">
        <v>213</v>
      </c>
      <c r="BM30" s="3">
        <v>223</v>
      </c>
      <c r="BN30" s="3">
        <v>237</v>
      </c>
      <c r="BO30" s="3">
        <v>0</v>
      </c>
      <c r="BP30" s="20">
        <v>0</v>
      </c>
      <c r="BQ30" s="65">
        <v>204.1</v>
      </c>
      <c r="BR30" s="3">
        <v>207</v>
      </c>
      <c r="BS30" s="3">
        <v>195</v>
      </c>
      <c r="BT30" s="3">
        <v>206</v>
      </c>
      <c r="BU30" s="3">
        <v>202</v>
      </c>
      <c r="BV30" s="3">
        <v>202</v>
      </c>
      <c r="BW30" s="3">
        <v>198</v>
      </c>
      <c r="BX30" s="3">
        <v>189</v>
      </c>
      <c r="BY30" s="3">
        <v>206</v>
      </c>
      <c r="BZ30" s="3">
        <v>218</v>
      </c>
      <c r="CA30" s="3">
        <v>218</v>
      </c>
      <c r="CB30" s="3">
        <v>0</v>
      </c>
      <c r="CC30" s="3">
        <v>0</v>
      </c>
      <c r="CD30" s="16">
        <v>177.18</v>
      </c>
      <c r="CE30" s="3">
        <v>174</v>
      </c>
      <c r="CF30" s="3">
        <v>183</v>
      </c>
      <c r="CG30" s="3">
        <v>175</v>
      </c>
      <c r="CH30" s="3">
        <v>174</v>
      </c>
      <c r="CI30" s="3">
        <v>174</v>
      </c>
      <c r="CJ30" s="3">
        <v>168</v>
      </c>
      <c r="CK30" s="3">
        <v>171</v>
      </c>
      <c r="CL30" s="66">
        <v>170.3</v>
      </c>
      <c r="CM30" s="66">
        <v>172.6</v>
      </c>
      <c r="CN30" s="66">
        <v>174.9</v>
      </c>
      <c r="CO30" s="3">
        <v>35</v>
      </c>
      <c r="CP30" s="3">
        <v>0</v>
      </c>
      <c r="CQ30" s="9">
        <v>152.4</v>
      </c>
      <c r="CR30" s="3">
        <v>147</v>
      </c>
      <c r="CS30" s="3">
        <v>138</v>
      </c>
      <c r="CT30" s="3">
        <v>151</v>
      </c>
      <c r="CU30" s="3">
        <v>146</v>
      </c>
      <c r="CV30" s="3">
        <v>145</v>
      </c>
      <c r="CW30" s="3">
        <v>138</v>
      </c>
      <c r="CX30" s="3">
        <v>146</v>
      </c>
      <c r="CY30" s="3">
        <v>148</v>
      </c>
      <c r="CZ30" s="3">
        <v>150</v>
      </c>
      <c r="DA30" s="3">
        <v>152</v>
      </c>
      <c r="DB30" s="3">
        <v>37</v>
      </c>
      <c r="DC30" s="3">
        <v>26</v>
      </c>
      <c r="DD30" s="9">
        <v>135.30000000000001</v>
      </c>
      <c r="DE30" s="3">
        <v>129</v>
      </c>
      <c r="DF30" s="3">
        <v>132</v>
      </c>
      <c r="DG30" s="3">
        <v>163</v>
      </c>
      <c r="DH30" s="3">
        <v>141</v>
      </c>
      <c r="DI30" s="3">
        <v>123</v>
      </c>
      <c r="DJ30" s="3">
        <v>117</v>
      </c>
      <c r="DK30" s="3">
        <v>113</v>
      </c>
      <c r="DL30" s="3">
        <v>119</v>
      </c>
      <c r="DM30" s="3">
        <v>120</v>
      </c>
      <c r="DN30" s="3">
        <v>125</v>
      </c>
      <c r="DO30" s="3">
        <v>49</v>
      </c>
      <c r="DP30" s="20">
        <v>22</v>
      </c>
      <c r="DQ30" s="9">
        <v>147.4</v>
      </c>
      <c r="DR30" s="3">
        <v>138</v>
      </c>
      <c r="DS30" s="3">
        <v>162</v>
      </c>
      <c r="DT30" s="3">
        <v>162</v>
      </c>
      <c r="DU30" s="3">
        <v>153</v>
      </c>
      <c r="DV30" s="3">
        <v>150</v>
      </c>
      <c r="DW30" s="3">
        <v>143</v>
      </c>
      <c r="DX30" s="3">
        <v>155</v>
      </c>
      <c r="DY30" s="3">
        <v>143</v>
      </c>
      <c r="DZ30" s="3">
        <v>134</v>
      </c>
      <c r="EA30" s="3">
        <v>113</v>
      </c>
      <c r="EB30" s="3">
        <v>21</v>
      </c>
      <c r="EC30" s="3">
        <v>0</v>
      </c>
      <c r="ED30" s="9">
        <f t="shared" si="12"/>
        <v>131.17500000000001</v>
      </c>
      <c r="EE30" s="3">
        <v>59</v>
      </c>
      <c r="EF30" s="3">
        <v>96</v>
      </c>
      <c r="EG30" s="3">
        <v>115</v>
      </c>
      <c r="EH30" s="3">
        <v>110</v>
      </c>
      <c r="EI30" s="3">
        <v>119</v>
      </c>
      <c r="EJ30" s="3">
        <v>134</v>
      </c>
      <c r="EK30" s="3">
        <v>157</v>
      </c>
      <c r="EL30" s="3">
        <v>165</v>
      </c>
      <c r="EM30" s="3">
        <v>159</v>
      </c>
      <c r="EN30" s="3">
        <v>146.75</v>
      </c>
      <c r="EO30" s="3">
        <v>35</v>
      </c>
      <c r="EP30" s="3">
        <v>16</v>
      </c>
      <c r="EQ30" s="89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97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102"/>
      <c r="FR30" s="102"/>
      <c r="GA30" s="34"/>
    </row>
    <row r="31" spans="1:183" x14ac:dyDescent="0.25">
      <c r="A31" s="6" t="s">
        <v>329</v>
      </c>
      <c r="B31" s="25" t="s">
        <v>340</v>
      </c>
      <c r="C31" s="1" t="s">
        <v>333</v>
      </c>
      <c r="D31" s="141">
        <f t="shared" si="6"/>
        <v>17.75</v>
      </c>
      <c r="E31" s="141">
        <v>17</v>
      </c>
      <c r="F31" s="141">
        <v>18</v>
      </c>
      <c r="G31" s="141">
        <v>18</v>
      </c>
      <c r="H31" s="141">
        <v>18</v>
      </c>
      <c r="P31" s="77"/>
      <c r="Q31" s="159">
        <f t="shared" si="10"/>
        <v>12.010000000000002</v>
      </c>
      <c r="R31" s="141">
        <v>12.81</v>
      </c>
      <c r="S31" s="141">
        <v>12.81</v>
      </c>
      <c r="T31" s="141">
        <v>11.81</v>
      </c>
      <c r="U31" s="141">
        <v>11.81</v>
      </c>
      <c r="V31" s="141">
        <v>11.81</v>
      </c>
      <c r="W31" s="141">
        <v>10.81</v>
      </c>
      <c r="X31" s="141">
        <v>12.81</v>
      </c>
      <c r="Y31" s="141">
        <v>9.81</v>
      </c>
      <c r="Z31" s="141">
        <v>12.81</v>
      </c>
      <c r="AA31" s="141">
        <v>12.81</v>
      </c>
      <c r="AB31" s="141">
        <v>0</v>
      </c>
      <c r="AC31" s="154">
        <v>0</v>
      </c>
      <c r="AD31" s="159">
        <v>11.71</v>
      </c>
      <c r="AE31" s="141">
        <v>12.81</v>
      </c>
      <c r="AF31" s="141">
        <v>13.81</v>
      </c>
      <c r="AG31" s="141">
        <v>13.81</v>
      </c>
      <c r="AH31" s="141">
        <v>12.81</v>
      </c>
      <c r="AI31" s="141">
        <v>8.81</v>
      </c>
      <c r="AJ31" s="141">
        <v>8.81</v>
      </c>
      <c r="AK31" s="141">
        <v>11.81</v>
      </c>
      <c r="AL31" s="141">
        <v>10.81</v>
      </c>
      <c r="AM31" s="141">
        <v>11.81</v>
      </c>
      <c r="AN31" s="141">
        <v>11.81</v>
      </c>
      <c r="AO31" s="141">
        <v>0</v>
      </c>
      <c r="AP31" s="141">
        <v>0</v>
      </c>
      <c r="AQ31" s="9">
        <f t="shared" si="13"/>
        <v>13.328999999999999</v>
      </c>
      <c r="AR31" s="3">
        <v>7.81</v>
      </c>
      <c r="AS31" s="3">
        <v>7.81</v>
      </c>
      <c r="AT31" s="3">
        <v>8.81</v>
      </c>
      <c r="AU31" s="3">
        <v>10.81</v>
      </c>
      <c r="AV31" s="3">
        <v>10.809999999999999</v>
      </c>
      <c r="AW31" s="3">
        <v>16.809999999999999</v>
      </c>
      <c r="AX31" s="3">
        <v>21.81</v>
      </c>
      <c r="AY31" s="3">
        <v>16</v>
      </c>
      <c r="AZ31" s="3">
        <v>16.809999999999999</v>
      </c>
      <c r="BA31" s="3">
        <v>15.81</v>
      </c>
      <c r="BB31" s="3">
        <v>0</v>
      </c>
      <c r="BC31" s="3">
        <v>0</v>
      </c>
      <c r="BD31" s="117">
        <v>9.1999999999999993</v>
      </c>
      <c r="BE31" s="3">
        <v>10</v>
      </c>
      <c r="BF31" s="3">
        <v>10</v>
      </c>
      <c r="BG31" s="3">
        <v>8</v>
      </c>
      <c r="BH31" s="3">
        <v>9</v>
      </c>
      <c r="BI31" s="3">
        <v>9</v>
      </c>
      <c r="BJ31" s="3">
        <v>11</v>
      </c>
      <c r="BK31" s="3">
        <v>10</v>
      </c>
      <c r="BL31" s="3">
        <v>8</v>
      </c>
      <c r="BM31" s="3">
        <v>9</v>
      </c>
      <c r="BN31" s="3">
        <v>8</v>
      </c>
      <c r="BO31" s="3">
        <v>0</v>
      </c>
      <c r="BP31" s="20">
        <v>0</v>
      </c>
      <c r="BQ31" s="65">
        <v>15.067000000000002</v>
      </c>
      <c r="BR31" s="3">
        <v>18</v>
      </c>
      <c r="BS31" s="3">
        <v>20</v>
      </c>
      <c r="BT31" s="3">
        <v>18</v>
      </c>
      <c r="BU31" s="3">
        <v>18</v>
      </c>
      <c r="BV31" s="3">
        <v>11</v>
      </c>
      <c r="BW31" s="3">
        <v>14</v>
      </c>
      <c r="BX31" s="3">
        <v>13</v>
      </c>
      <c r="BY31" s="3">
        <v>12.67</v>
      </c>
      <c r="BZ31" s="3">
        <v>14</v>
      </c>
      <c r="CA31" s="3">
        <v>12</v>
      </c>
      <c r="CB31" s="3">
        <v>0</v>
      </c>
      <c r="CC31" s="3">
        <v>0</v>
      </c>
      <c r="CD31" s="16">
        <v>20.856999999999999</v>
      </c>
      <c r="CE31" s="3">
        <v>0</v>
      </c>
      <c r="CF31" s="3">
        <v>27.869999999999997</v>
      </c>
      <c r="CG31" s="3">
        <v>28.21</v>
      </c>
      <c r="CH31" s="3">
        <v>26.71</v>
      </c>
      <c r="CI31" s="3">
        <v>19.880000000000003</v>
      </c>
      <c r="CJ31" s="3">
        <v>20.23</v>
      </c>
      <c r="CK31" s="3">
        <v>20.62</v>
      </c>
      <c r="CL31" s="66">
        <v>21.74</v>
      </c>
      <c r="CM31" s="66">
        <v>22.16</v>
      </c>
      <c r="CN31" s="66">
        <v>21.15</v>
      </c>
      <c r="CO31" s="3">
        <v>0</v>
      </c>
      <c r="CP31" s="3">
        <v>0</v>
      </c>
      <c r="CQ31" s="89"/>
      <c r="CR31" s="87"/>
      <c r="CS31" s="87"/>
      <c r="CT31" s="87"/>
      <c r="CU31" s="87"/>
      <c r="CV31" s="87"/>
      <c r="CW31" s="87"/>
      <c r="CX31" s="87"/>
      <c r="CY31" s="87"/>
      <c r="CZ31" s="87"/>
      <c r="DA31" s="88"/>
      <c r="DB31" s="88"/>
      <c r="DC31" s="88"/>
      <c r="DD31" s="89"/>
      <c r="DE31" s="87"/>
      <c r="DF31" s="87"/>
      <c r="DG31" s="87"/>
      <c r="DH31" s="87"/>
      <c r="DI31" s="87"/>
      <c r="DJ31" s="87"/>
      <c r="DK31" s="87"/>
      <c r="DL31" s="87"/>
      <c r="DM31" s="87"/>
      <c r="DN31" s="88"/>
      <c r="DO31" s="88"/>
      <c r="DP31" s="88"/>
      <c r="DQ31" s="89"/>
      <c r="DR31" s="87"/>
      <c r="DS31" s="87"/>
      <c r="DT31" s="87"/>
      <c r="DU31" s="87"/>
      <c r="DV31" s="87"/>
      <c r="DW31" s="87"/>
      <c r="DX31" s="87"/>
      <c r="DY31" s="87"/>
      <c r="DZ31" s="87"/>
      <c r="EA31" s="88"/>
      <c r="EB31" s="88"/>
      <c r="EC31" s="88"/>
      <c r="ED31" s="89"/>
      <c r="EE31" s="87"/>
      <c r="EF31" s="87"/>
      <c r="EG31" s="87"/>
      <c r="EH31" s="87"/>
      <c r="EI31" s="87"/>
      <c r="EJ31" s="87"/>
      <c r="EK31" s="87"/>
      <c r="EL31" s="87"/>
      <c r="EM31" s="87"/>
      <c r="EN31" s="88"/>
      <c r="EO31" s="88"/>
      <c r="EP31" s="88"/>
      <c r="EQ31" s="89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97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102"/>
      <c r="FR31" s="102"/>
      <c r="GA31" s="34"/>
    </row>
    <row r="32" spans="1:183" x14ac:dyDescent="0.25">
      <c r="A32" s="6" t="s">
        <v>270</v>
      </c>
      <c r="B32" s="25" t="s">
        <v>269</v>
      </c>
      <c r="C32" s="1" t="s">
        <v>268</v>
      </c>
      <c r="D32" s="141">
        <f t="shared" si="6"/>
        <v>5.5</v>
      </c>
      <c r="E32" s="141">
        <v>3</v>
      </c>
      <c r="F32" s="141">
        <v>6</v>
      </c>
      <c r="G32" s="141">
        <v>6</v>
      </c>
      <c r="H32" s="141">
        <v>7</v>
      </c>
      <c r="P32" s="77"/>
      <c r="Q32" s="159">
        <f t="shared" si="10"/>
        <v>6.4</v>
      </c>
      <c r="R32" s="141">
        <v>6</v>
      </c>
      <c r="S32" s="141">
        <v>8</v>
      </c>
      <c r="T32" s="141">
        <v>7</v>
      </c>
      <c r="U32" s="141">
        <v>6</v>
      </c>
      <c r="V32" s="141">
        <v>5</v>
      </c>
      <c r="W32" s="141">
        <v>4</v>
      </c>
      <c r="X32" s="141">
        <v>7</v>
      </c>
      <c r="Y32" s="141">
        <v>6</v>
      </c>
      <c r="Z32" s="141">
        <v>4</v>
      </c>
      <c r="AA32" s="141">
        <v>2</v>
      </c>
      <c r="AB32" s="141">
        <v>4</v>
      </c>
      <c r="AC32" s="154">
        <v>5</v>
      </c>
      <c r="AD32" s="159">
        <v>4.5999999999999996</v>
      </c>
      <c r="AE32" s="141">
        <v>0</v>
      </c>
      <c r="AF32" s="141">
        <v>1</v>
      </c>
      <c r="AG32" s="141">
        <v>2</v>
      </c>
      <c r="AH32" s="141">
        <v>4</v>
      </c>
      <c r="AI32" s="141">
        <v>6</v>
      </c>
      <c r="AJ32" s="141">
        <v>5</v>
      </c>
      <c r="AK32" s="141">
        <v>6</v>
      </c>
      <c r="AL32" s="141">
        <v>6</v>
      </c>
      <c r="AM32" s="141">
        <v>7</v>
      </c>
      <c r="AN32" s="141">
        <v>7</v>
      </c>
      <c r="AO32" s="141">
        <v>2</v>
      </c>
      <c r="AP32" s="141">
        <v>0</v>
      </c>
      <c r="AQ32" s="9">
        <f t="shared" si="13"/>
        <v>3.5</v>
      </c>
      <c r="AR32" s="3">
        <v>2</v>
      </c>
      <c r="AS32" s="3">
        <v>5</v>
      </c>
      <c r="AT32" s="3">
        <v>4</v>
      </c>
      <c r="AU32" s="3">
        <v>4</v>
      </c>
      <c r="AV32" s="3">
        <v>2</v>
      </c>
      <c r="AW32" s="3">
        <v>4</v>
      </c>
      <c r="AX32" s="3">
        <v>2</v>
      </c>
      <c r="AY32" s="3">
        <v>5</v>
      </c>
      <c r="AZ32" s="3">
        <v>3</v>
      </c>
      <c r="BA32" s="3">
        <v>4</v>
      </c>
      <c r="BB32" s="3">
        <v>0</v>
      </c>
      <c r="BC32" s="3">
        <v>0</v>
      </c>
      <c r="BD32" s="117">
        <v>2.9</v>
      </c>
      <c r="BE32" s="3">
        <v>2</v>
      </c>
      <c r="BF32" s="3">
        <v>2</v>
      </c>
      <c r="BG32" s="3">
        <v>1</v>
      </c>
      <c r="BH32" s="3">
        <v>4</v>
      </c>
      <c r="BI32" s="3">
        <v>5</v>
      </c>
      <c r="BJ32" s="3">
        <v>4</v>
      </c>
      <c r="BK32" s="3">
        <v>3</v>
      </c>
      <c r="BL32" s="3">
        <v>3</v>
      </c>
      <c r="BM32" s="3">
        <v>2</v>
      </c>
      <c r="BN32" s="3">
        <v>3</v>
      </c>
      <c r="BO32" s="3">
        <v>0</v>
      </c>
      <c r="BP32" s="20">
        <v>0</v>
      </c>
      <c r="BQ32" s="65">
        <v>2.8</v>
      </c>
      <c r="BR32" s="3">
        <v>2</v>
      </c>
      <c r="BS32" s="3">
        <v>6</v>
      </c>
      <c r="BT32" s="3">
        <v>2</v>
      </c>
      <c r="BU32" s="3">
        <v>3</v>
      </c>
      <c r="BV32" s="3">
        <v>3</v>
      </c>
      <c r="BW32" s="3">
        <v>1</v>
      </c>
      <c r="BX32" s="3">
        <v>3</v>
      </c>
      <c r="BY32" s="3">
        <v>3</v>
      </c>
      <c r="BZ32" s="3">
        <v>3</v>
      </c>
      <c r="CA32" s="3">
        <v>2</v>
      </c>
      <c r="CB32" s="3">
        <v>0</v>
      </c>
      <c r="CC32" s="3">
        <v>0</v>
      </c>
      <c r="CD32" s="16">
        <v>5.0659999999999998</v>
      </c>
      <c r="CE32" s="3">
        <v>1</v>
      </c>
      <c r="CF32" s="3">
        <v>5</v>
      </c>
      <c r="CG32" s="3">
        <v>4</v>
      </c>
      <c r="CH32" s="3">
        <v>5</v>
      </c>
      <c r="CI32" s="3">
        <v>4</v>
      </c>
      <c r="CJ32" s="3">
        <v>7</v>
      </c>
      <c r="CK32" s="3">
        <v>6</v>
      </c>
      <c r="CL32" s="66">
        <v>5.83</v>
      </c>
      <c r="CM32" s="66">
        <v>7</v>
      </c>
      <c r="CN32" s="66">
        <v>5.83</v>
      </c>
      <c r="CO32" s="3">
        <v>0</v>
      </c>
      <c r="CP32" s="3">
        <v>0</v>
      </c>
      <c r="CQ32" s="9">
        <v>5.6</v>
      </c>
      <c r="CR32" s="3">
        <v>0</v>
      </c>
      <c r="CS32" s="3">
        <v>3</v>
      </c>
      <c r="CT32" s="3">
        <v>6</v>
      </c>
      <c r="CU32" s="3">
        <v>7</v>
      </c>
      <c r="CV32" s="3">
        <v>6</v>
      </c>
      <c r="CW32" s="3">
        <v>6</v>
      </c>
      <c r="CX32" s="3">
        <v>6</v>
      </c>
      <c r="CY32" s="3">
        <v>5</v>
      </c>
      <c r="CZ32" s="3">
        <v>6</v>
      </c>
      <c r="DA32" s="3">
        <v>5</v>
      </c>
      <c r="DB32" s="3">
        <v>3</v>
      </c>
      <c r="DC32" s="3">
        <v>3</v>
      </c>
      <c r="DD32" s="9">
        <v>3.7</v>
      </c>
      <c r="DE32" s="3">
        <v>4</v>
      </c>
      <c r="DF32" s="3">
        <v>4</v>
      </c>
      <c r="DG32" s="3">
        <v>4</v>
      </c>
      <c r="DH32" s="3">
        <v>6</v>
      </c>
      <c r="DI32" s="3">
        <v>4</v>
      </c>
      <c r="DJ32" s="3">
        <v>4</v>
      </c>
      <c r="DK32" s="3">
        <v>5</v>
      </c>
      <c r="DL32" s="3">
        <v>2</v>
      </c>
      <c r="DM32" s="3">
        <v>2</v>
      </c>
      <c r="DN32" s="3">
        <v>2</v>
      </c>
      <c r="DO32" s="3">
        <v>0</v>
      </c>
      <c r="DP32" s="20">
        <v>0</v>
      </c>
      <c r="DQ32" s="89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9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/>
      <c r="EQ32" s="89"/>
      <c r="ER32" s="87"/>
      <c r="ES32" s="87"/>
      <c r="ET32" s="87"/>
      <c r="EU32" s="87"/>
      <c r="EV32" s="87"/>
      <c r="EW32" s="87"/>
      <c r="EX32" s="87"/>
      <c r="EY32" s="87"/>
      <c r="EZ32" s="87"/>
      <c r="FA32" s="87"/>
      <c r="FB32" s="87"/>
      <c r="FC32" s="87"/>
      <c r="FD32" s="97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102"/>
      <c r="FR32" s="102"/>
      <c r="GA32" s="34"/>
    </row>
    <row r="33" spans="1:183" x14ac:dyDescent="0.25">
      <c r="A33" s="6" t="s">
        <v>250</v>
      </c>
      <c r="B33" s="25" t="s">
        <v>254</v>
      </c>
      <c r="C33" s="1" t="s">
        <v>253</v>
      </c>
      <c r="D33" s="141">
        <f t="shared" si="6"/>
        <v>8.75</v>
      </c>
      <c r="E33" s="141">
        <v>4</v>
      </c>
      <c r="F33" s="141">
        <v>11</v>
      </c>
      <c r="G33" s="141">
        <v>10</v>
      </c>
      <c r="H33" s="141">
        <v>10</v>
      </c>
      <c r="P33" s="77"/>
      <c r="Q33" s="159">
        <f t="shared" si="10"/>
        <v>13.7</v>
      </c>
      <c r="R33" s="141">
        <v>3</v>
      </c>
      <c r="S33" s="141">
        <v>14</v>
      </c>
      <c r="T33" s="141">
        <v>14</v>
      </c>
      <c r="U33" s="141">
        <v>9</v>
      </c>
      <c r="V33" s="141">
        <v>12</v>
      </c>
      <c r="W33" s="141">
        <v>14</v>
      </c>
      <c r="X33" s="141">
        <v>17</v>
      </c>
      <c r="Y33" s="141">
        <v>18</v>
      </c>
      <c r="Z33" s="141">
        <v>16</v>
      </c>
      <c r="AA33" s="141">
        <v>13</v>
      </c>
      <c r="AB33" s="141">
        <v>5</v>
      </c>
      <c r="AC33" s="154">
        <v>2</v>
      </c>
      <c r="AD33" s="159">
        <v>11.7</v>
      </c>
      <c r="AE33" s="141">
        <v>2</v>
      </c>
      <c r="AF33" s="141">
        <v>10</v>
      </c>
      <c r="AG33" s="141">
        <v>11</v>
      </c>
      <c r="AH33" s="141">
        <v>12</v>
      </c>
      <c r="AI33" s="141">
        <v>13</v>
      </c>
      <c r="AJ33" s="141">
        <v>14</v>
      </c>
      <c r="AK33" s="141">
        <v>11</v>
      </c>
      <c r="AL33" s="141">
        <v>10</v>
      </c>
      <c r="AM33" s="141">
        <v>8</v>
      </c>
      <c r="AN33" s="141">
        <v>9</v>
      </c>
      <c r="AO33" s="141">
        <v>10</v>
      </c>
      <c r="AP33" s="141">
        <v>7</v>
      </c>
      <c r="AQ33" s="9">
        <f t="shared" si="13"/>
        <v>15.2</v>
      </c>
      <c r="AR33" s="3">
        <v>5</v>
      </c>
      <c r="AS33" s="3">
        <v>15</v>
      </c>
      <c r="AT33" s="3">
        <v>20</v>
      </c>
      <c r="AU33" s="3">
        <v>19</v>
      </c>
      <c r="AV33" s="3">
        <v>18</v>
      </c>
      <c r="AW33" s="3">
        <v>18</v>
      </c>
      <c r="AX33" s="3">
        <v>16</v>
      </c>
      <c r="AY33" s="3">
        <v>13</v>
      </c>
      <c r="AZ33" s="3">
        <v>13</v>
      </c>
      <c r="BA33" s="3">
        <v>15</v>
      </c>
      <c r="BB33" s="3">
        <v>0</v>
      </c>
      <c r="BC33" s="3">
        <v>0</v>
      </c>
      <c r="BD33" s="117">
        <v>11.6</v>
      </c>
      <c r="BE33" s="3">
        <v>6</v>
      </c>
      <c r="BF33" s="3">
        <v>9</v>
      </c>
      <c r="BG33" s="3">
        <v>12</v>
      </c>
      <c r="BH33" s="3">
        <v>10</v>
      </c>
      <c r="BI33" s="3">
        <v>6</v>
      </c>
      <c r="BJ33" s="3">
        <v>11</v>
      </c>
      <c r="BK33" s="3">
        <v>16</v>
      </c>
      <c r="BL33" s="3">
        <v>16</v>
      </c>
      <c r="BM33" s="3">
        <v>14</v>
      </c>
      <c r="BN33" s="3">
        <v>16</v>
      </c>
      <c r="BO33" s="3">
        <v>0</v>
      </c>
      <c r="BP33" s="20">
        <v>0</v>
      </c>
      <c r="BQ33" s="65">
        <v>14.6</v>
      </c>
      <c r="BR33" s="3">
        <v>6</v>
      </c>
      <c r="BS33" s="3">
        <v>13</v>
      </c>
      <c r="BT33" s="3">
        <v>14</v>
      </c>
      <c r="BU33" s="3">
        <v>14</v>
      </c>
      <c r="BV33" s="3">
        <v>14</v>
      </c>
      <c r="BW33" s="3">
        <v>16</v>
      </c>
      <c r="BX33" s="3">
        <v>16</v>
      </c>
      <c r="BY33" s="3">
        <v>19</v>
      </c>
      <c r="BZ33" s="3">
        <v>18</v>
      </c>
      <c r="CA33" s="3">
        <v>16</v>
      </c>
      <c r="CB33" s="3">
        <v>0</v>
      </c>
      <c r="CC33" s="3">
        <v>0</v>
      </c>
      <c r="CD33" s="16">
        <v>10.851000000000001</v>
      </c>
      <c r="CE33" s="3">
        <v>2</v>
      </c>
      <c r="CF33" s="3">
        <v>8</v>
      </c>
      <c r="CG33" s="3">
        <v>8.5</v>
      </c>
      <c r="CH33" s="3">
        <v>10</v>
      </c>
      <c r="CI33" s="3">
        <v>10</v>
      </c>
      <c r="CJ33" s="3">
        <v>14</v>
      </c>
      <c r="CK33" s="3">
        <v>14</v>
      </c>
      <c r="CL33" s="66">
        <v>18</v>
      </c>
      <c r="CM33" s="66">
        <v>12.67</v>
      </c>
      <c r="CN33" s="66">
        <v>11.34</v>
      </c>
      <c r="CO33" s="3">
        <v>0</v>
      </c>
      <c r="CP33" s="3">
        <v>0</v>
      </c>
      <c r="CQ33" s="9">
        <v>10.1</v>
      </c>
      <c r="CR33" s="3">
        <v>6</v>
      </c>
      <c r="CS33" s="3">
        <v>4</v>
      </c>
      <c r="CT33" s="3">
        <v>11.5</v>
      </c>
      <c r="CU33" s="3">
        <v>9.5</v>
      </c>
      <c r="CV33" s="3">
        <v>4.5</v>
      </c>
      <c r="CW33" s="3">
        <v>11.5</v>
      </c>
      <c r="CX33" s="3">
        <v>10.5</v>
      </c>
      <c r="CY33" s="3">
        <v>13.5</v>
      </c>
      <c r="CZ33" s="3">
        <v>9.5</v>
      </c>
      <c r="DA33" s="3">
        <v>8.5</v>
      </c>
      <c r="DB33" s="3">
        <v>7</v>
      </c>
      <c r="DC33" s="3">
        <v>5</v>
      </c>
      <c r="DD33" s="9">
        <v>6.25</v>
      </c>
      <c r="DE33" s="3">
        <v>1</v>
      </c>
      <c r="DF33" s="3">
        <v>4</v>
      </c>
      <c r="DG33" s="3">
        <v>5</v>
      </c>
      <c r="DH33" s="3">
        <v>6</v>
      </c>
      <c r="DI33" s="3">
        <v>8</v>
      </c>
      <c r="DJ33" s="3">
        <v>7</v>
      </c>
      <c r="DK33" s="3">
        <v>6</v>
      </c>
      <c r="DL33" s="3">
        <v>7.5</v>
      </c>
      <c r="DM33" s="3">
        <v>10.5</v>
      </c>
      <c r="DN33" s="3">
        <v>7.5</v>
      </c>
      <c r="DO33" s="3">
        <v>0</v>
      </c>
      <c r="DP33" s="20">
        <v>0</v>
      </c>
      <c r="DQ33" s="9">
        <v>4.3</v>
      </c>
      <c r="DR33" s="3"/>
      <c r="DS33" s="3"/>
      <c r="DT33" s="3"/>
      <c r="DV33" s="3">
        <v>0</v>
      </c>
      <c r="DW33" s="3">
        <v>7</v>
      </c>
      <c r="DX33" s="3">
        <v>8</v>
      </c>
      <c r="DY33" s="3">
        <v>10</v>
      </c>
      <c r="DZ33" s="3">
        <v>9</v>
      </c>
      <c r="EA33" s="3">
        <v>9</v>
      </c>
      <c r="EB33" s="3">
        <v>0</v>
      </c>
      <c r="EC33" s="3">
        <v>0</v>
      </c>
      <c r="ED33" s="89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/>
      <c r="EQ33" s="89"/>
      <c r="ER33" s="87"/>
      <c r="ES33" s="87"/>
      <c r="ET33" s="87"/>
      <c r="EU33" s="87"/>
      <c r="EV33" s="87"/>
      <c r="EW33" s="87"/>
      <c r="EX33" s="87"/>
      <c r="EY33" s="87"/>
      <c r="EZ33" s="87"/>
      <c r="FA33" s="87"/>
      <c r="FB33" s="87"/>
      <c r="FC33" s="87"/>
      <c r="FD33" s="97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102"/>
      <c r="FR33" s="102"/>
      <c r="GA33" s="34"/>
    </row>
    <row r="34" spans="1:183" x14ac:dyDescent="0.25">
      <c r="A34" s="6" t="s">
        <v>261</v>
      </c>
      <c r="B34" s="25" t="s">
        <v>262</v>
      </c>
      <c r="C34" s="1" t="s">
        <v>260</v>
      </c>
      <c r="D34" s="141">
        <f t="shared" si="6"/>
        <v>12.75</v>
      </c>
      <c r="E34" s="141">
        <v>12</v>
      </c>
      <c r="F34" s="141">
        <v>13</v>
      </c>
      <c r="G34" s="141">
        <v>13</v>
      </c>
      <c r="H34" s="141">
        <v>13</v>
      </c>
      <c r="P34" s="77"/>
      <c r="Q34" s="159">
        <f t="shared" si="10"/>
        <v>8.9</v>
      </c>
      <c r="R34" s="141">
        <v>2</v>
      </c>
      <c r="S34" s="141">
        <v>4</v>
      </c>
      <c r="T34" s="141">
        <v>8</v>
      </c>
      <c r="U34" s="141">
        <v>8</v>
      </c>
      <c r="V34" s="141">
        <v>8</v>
      </c>
      <c r="W34" s="141">
        <v>10</v>
      </c>
      <c r="X34" s="141">
        <v>11</v>
      </c>
      <c r="Y34" s="141">
        <v>13</v>
      </c>
      <c r="Z34" s="141">
        <v>13</v>
      </c>
      <c r="AA34" s="141">
        <v>12</v>
      </c>
      <c r="AB34" s="141">
        <v>0</v>
      </c>
      <c r="AC34" s="154">
        <v>0</v>
      </c>
      <c r="AD34" s="159">
        <v>4.2</v>
      </c>
      <c r="AE34" s="141">
        <v>0</v>
      </c>
      <c r="AF34" s="141">
        <v>0</v>
      </c>
      <c r="AG34" s="141">
        <v>1</v>
      </c>
      <c r="AH34" s="141">
        <v>4</v>
      </c>
      <c r="AI34" s="141">
        <v>4</v>
      </c>
      <c r="AJ34" s="141">
        <v>4</v>
      </c>
      <c r="AK34" s="141">
        <v>6</v>
      </c>
      <c r="AL34" s="141">
        <v>7</v>
      </c>
      <c r="AM34" s="141">
        <v>8</v>
      </c>
      <c r="AN34" s="141">
        <v>8</v>
      </c>
      <c r="AO34" s="141">
        <v>0</v>
      </c>
      <c r="AP34" s="141">
        <v>0</v>
      </c>
      <c r="AQ34" s="9">
        <f t="shared" si="13"/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117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20">
        <v>0</v>
      </c>
      <c r="BQ34" s="65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16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66">
        <v>0</v>
      </c>
      <c r="CM34" s="66">
        <v>0</v>
      </c>
      <c r="CN34" s="66">
        <v>0</v>
      </c>
      <c r="CO34" s="3">
        <v>0</v>
      </c>
      <c r="CP34" s="3">
        <v>0</v>
      </c>
      <c r="CQ34" s="9">
        <v>1.3</v>
      </c>
      <c r="CR34" s="3">
        <v>0</v>
      </c>
      <c r="CS34" s="3">
        <v>0</v>
      </c>
      <c r="CT34" s="3">
        <v>1</v>
      </c>
      <c r="CU34" s="3">
        <v>1</v>
      </c>
      <c r="CV34" s="3">
        <v>1</v>
      </c>
      <c r="CW34" s="3">
        <v>1</v>
      </c>
      <c r="CX34" s="3">
        <v>1</v>
      </c>
      <c r="CY34" s="3">
        <v>3</v>
      </c>
      <c r="CZ34" s="3">
        <v>3</v>
      </c>
      <c r="DA34" s="3">
        <v>2</v>
      </c>
      <c r="DB34" s="3">
        <v>0</v>
      </c>
      <c r="DC34" s="3">
        <v>0</v>
      </c>
      <c r="DD34" s="9">
        <v>1.3</v>
      </c>
      <c r="DE34" s="3">
        <v>1</v>
      </c>
      <c r="DF34" s="3">
        <v>1</v>
      </c>
      <c r="DG34" s="3">
        <v>1</v>
      </c>
      <c r="DH34" s="3">
        <v>1</v>
      </c>
      <c r="DI34" s="3">
        <v>1</v>
      </c>
      <c r="DJ34" s="3">
        <v>1</v>
      </c>
      <c r="DK34" s="3">
        <v>0</v>
      </c>
      <c r="DL34" s="3">
        <v>2</v>
      </c>
      <c r="DM34" s="3">
        <v>3</v>
      </c>
      <c r="DN34" s="3">
        <v>2</v>
      </c>
      <c r="DO34" s="3">
        <v>0</v>
      </c>
      <c r="DP34" s="20">
        <v>0</v>
      </c>
      <c r="DQ34" s="9">
        <v>0</v>
      </c>
      <c r="DR34" s="3"/>
      <c r="DS34" s="3"/>
      <c r="DT34" s="3"/>
      <c r="DV34" s="3"/>
      <c r="DW34" s="3"/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89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/>
      <c r="EQ34" s="89"/>
      <c r="ER34" s="87"/>
      <c r="ES34" s="87"/>
      <c r="ET34" s="87"/>
      <c r="EU34" s="87"/>
      <c r="EV34" s="87"/>
      <c r="EW34" s="87"/>
      <c r="EX34" s="87"/>
      <c r="EY34" s="87"/>
      <c r="EZ34" s="87"/>
      <c r="FA34" s="87"/>
      <c r="FB34" s="87"/>
      <c r="FC34" s="87"/>
      <c r="FD34" s="97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102"/>
      <c r="FR34" s="102"/>
      <c r="GA34" s="34"/>
    </row>
    <row r="35" spans="1:183" x14ac:dyDescent="0.25">
      <c r="A35" s="6" t="s">
        <v>176</v>
      </c>
      <c r="B35" s="25" t="s">
        <v>177</v>
      </c>
      <c r="C35" s="1" t="s">
        <v>175</v>
      </c>
      <c r="D35" s="141">
        <f t="shared" si="6"/>
        <v>22.75</v>
      </c>
      <c r="E35" s="141">
        <v>22</v>
      </c>
      <c r="F35" s="141">
        <v>13</v>
      </c>
      <c r="G35" s="141">
        <v>18</v>
      </c>
      <c r="H35" s="141">
        <v>38</v>
      </c>
      <c r="P35" s="77"/>
      <c r="Q35" s="159">
        <f t="shared" si="10"/>
        <v>51.2</v>
      </c>
      <c r="R35" s="141">
        <v>45</v>
      </c>
      <c r="S35" s="141">
        <v>46</v>
      </c>
      <c r="T35" s="141">
        <v>50</v>
      </c>
      <c r="U35" s="141">
        <v>48</v>
      </c>
      <c r="V35" s="141">
        <v>51</v>
      </c>
      <c r="W35" s="141">
        <v>50</v>
      </c>
      <c r="X35" s="141">
        <v>51</v>
      </c>
      <c r="Y35" s="141">
        <v>53</v>
      </c>
      <c r="Z35" s="141">
        <v>53</v>
      </c>
      <c r="AA35" s="141">
        <v>50</v>
      </c>
      <c r="AB35" s="141">
        <v>11</v>
      </c>
      <c r="AC35" s="154">
        <v>4</v>
      </c>
      <c r="AD35" s="159">
        <v>49.5</v>
      </c>
      <c r="AE35" s="141">
        <v>47</v>
      </c>
      <c r="AF35" s="141">
        <v>49</v>
      </c>
      <c r="AG35" s="141">
        <v>47</v>
      </c>
      <c r="AH35" s="141">
        <v>48</v>
      </c>
      <c r="AI35" s="141">
        <v>48</v>
      </c>
      <c r="AJ35" s="141">
        <v>48</v>
      </c>
      <c r="AK35" s="141">
        <v>49</v>
      </c>
      <c r="AL35" s="141">
        <v>47</v>
      </c>
      <c r="AM35" s="141">
        <v>48</v>
      </c>
      <c r="AN35" s="141">
        <v>47</v>
      </c>
      <c r="AO35" s="141">
        <v>10</v>
      </c>
      <c r="AP35" s="141">
        <v>7</v>
      </c>
      <c r="AQ35" s="9">
        <f t="shared" si="13"/>
        <v>55.3</v>
      </c>
      <c r="AR35" s="3">
        <v>54</v>
      </c>
      <c r="AS35" s="3">
        <v>51</v>
      </c>
      <c r="AT35" s="3">
        <v>49</v>
      </c>
      <c r="AU35" s="3">
        <v>54</v>
      </c>
      <c r="AV35" s="3">
        <v>54</v>
      </c>
      <c r="AW35" s="3">
        <v>54</v>
      </c>
      <c r="AX35" s="3">
        <v>60</v>
      </c>
      <c r="AY35" s="3">
        <v>60</v>
      </c>
      <c r="AZ35" s="3">
        <v>60</v>
      </c>
      <c r="BA35" s="3">
        <v>57</v>
      </c>
      <c r="BB35" s="3">
        <v>0</v>
      </c>
      <c r="BC35" s="3">
        <v>0</v>
      </c>
      <c r="BD35" s="117">
        <v>55.7</v>
      </c>
      <c r="BE35" s="3">
        <v>51</v>
      </c>
      <c r="BF35" s="3">
        <v>51</v>
      </c>
      <c r="BG35" s="3">
        <v>51</v>
      </c>
      <c r="BH35" s="3">
        <v>53</v>
      </c>
      <c r="BI35" s="3">
        <v>53</v>
      </c>
      <c r="BJ35" s="3">
        <v>55</v>
      </c>
      <c r="BK35" s="3">
        <v>53</v>
      </c>
      <c r="BL35" s="3">
        <v>59</v>
      </c>
      <c r="BM35" s="3">
        <v>60</v>
      </c>
      <c r="BN35" s="3">
        <v>60</v>
      </c>
      <c r="BO35" s="3">
        <v>11</v>
      </c>
      <c r="BP35" s="20">
        <v>0</v>
      </c>
      <c r="BQ35" s="65">
        <v>67.2</v>
      </c>
      <c r="BR35" s="3">
        <v>58</v>
      </c>
      <c r="BS35" s="3">
        <v>62</v>
      </c>
      <c r="BT35" s="3">
        <v>65</v>
      </c>
      <c r="BU35" s="3">
        <v>65</v>
      </c>
      <c r="BV35" s="3">
        <v>68</v>
      </c>
      <c r="BW35" s="3">
        <v>68</v>
      </c>
      <c r="BX35" s="3">
        <v>70</v>
      </c>
      <c r="BY35" s="3">
        <v>69</v>
      </c>
      <c r="BZ35" s="3">
        <v>68</v>
      </c>
      <c r="CA35" s="3">
        <v>66</v>
      </c>
      <c r="CB35" s="3">
        <v>6</v>
      </c>
      <c r="CC35" s="3">
        <v>7</v>
      </c>
      <c r="CD35" s="16">
        <v>57.652000000000001</v>
      </c>
      <c r="CE35" s="3">
        <v>0</v>
      </c>
      <c r="CF35" s="3">
        <v>50</v>
      </c>
      <c r="CG35" s="3">
        <v>55</v>
      </c>
      <c r="CH35" s="3">
        <v>60</v>
      </c>
      <c r="CI35" s="3">
        <v>54</v>
      </c>
      <c r="CJ35" s="3">
        <v>54</v>
      </c>
      <c r="CK35" s="3">
        <v>60</v>
      </c>
      <c r="CL35" s="66">
        <v>55.1</v>
      </c>
      <c r="CM35" s="66">
        <v>61.71</v>
      </c>
      <c r="CN35" s="66">
        <v>61.71</v>
      </c>
      <c r="CO35" s="3">
        <v>51</v>
      </c>
      <c r="CP35" s="3">
        <v>14</v>
      </c>
      <c r="CQ35" s="9">
        <v>51.5</v>
      </c>
      <c r="CR35" s="3">
        <v>0</v>
      </c>
      <c r="CS35" s="3">
        <v>52</v>
      </c>
      <c r="CT35" s="3">
        <v>51</v>
      </c>
      <c r="CU35" s="3">
        <v>59</v>
      </c>
      <c r="CV35" s="3">
        <v>52</v>
      </c>
      <c r="CW35" s="3">
        <v>48</v>
      </c>
      <c r="CX35" s="3">
        <v>49</v>
      </c>
      <c r="CY35" s="3">
        <v>50</v>
      </c>
      <c r="CZ35" s="3">
        <v>56</v>
      </c>
      <c r="DA35" s="3">
        <v>56</v>
      </c>
      <c r="DB35" s="3">
        <v>33</v>
      </c>
      <c r="DC35" s="3">
        <v>9</v>
      </c>
      <c r="DD35" s="9">
        <v>50.2</v>
      </c>
      <c r="DE35" s="3">
        <v>0</v>
      </c>
      <c r="DF35" s="3">
        <v>47</v>
      </c>
      <c r="DG35" s="3">
        <v>44</v>
      </c>
      <c r="DH35" s="3">
        <v>51</v>
      </c>
      <c r="DI35" s="3">
        <v>50</v>
      </c>
      <c r="DJ35" s="3">
        <v>54</v>
      </c>
      <c r="DK35" s="3">
        <v>53</v>
      </c>
      <c r="DL35" s="3">
        <v>52</v>
      </c>
      <c r="DM35" s="3">
        <v>55</v>
      </c>
      <c r="DN35" s="3">
        <v>53</v>
      </c>
      <c r="DO35" s="3">
        <v>34</v>
      </c>
      <c r="DP35" s="20">
        <v>9</v>
      </c>
      <c r="DQ35" s="9">
        <v>34.799999999999997</v>
      </c>
      <c r="DR35" s="3">
        <v>0</v>
      </c>
      <c r="DS35" s="3">
        <v>24</v>
      </c>
      <c r="DT35" s="3">
        <v>29</v>
      </c>
      <c r="DU35" s="3">
        <v>31</v>
      </c>
      <c r="DV35" s="3">
        <v>32</v>
      </c>
      <c r="DW35" s="3">
        <v>44</v>
      </c>
      <c r="DX35" s="3">
        <v>38</v>
      </c>
      <c r="DY35" s="3">
        <v>41</v>
      </c>
      <c r="DZ35" s="3">
        <v>37</v>
      </c>
      <c r="EA35" s="3">
        <v>38</v>
      </c>
      <c r="EB35" s="3">
        <v>26</v>
      </c>
      <c r="EC35" s="3">
        <v>8</v>
      </c>
      <c r="ED35" s="9">
        <f t="shared" si="12"/>
        <v>9.3000000000000007</v>
      </c>
      <c r="EE35" s="3">
        <v>0</v>
      </c>
      <c r="EF35" s="3">
        <v>0</v>
      </c>
      <c r="EG35" s="3">
        <v>0</v>
      </c>
      <c r="EH35" s="3">
        <v>11</v>
      </c>
      <c r="EI35" s="3">
        <v>8</v>
      </c>
      <c r="EJ35" s="3">
        <v>12</v>
      </c>
      <c r="EK35" s="3">
        <v>12</v>
      </c>
      <c r="EL35" s="3">
        <v>15</v>
      </c>
      <c r="EM35" s="3">
        <v>15</v>
      </c>
      <c r="EN35" s="3">
        <v>18</v>
      </c>
      <c r="EO35" s="3">
        <v>1</v>
      </c>
      <c r="EP35" s="3">
        <v>1</v>
      </c>
      <c r="EQ35" s="89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97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102"/>
      <c r="FR35" s="102"/>
      <c r="GA35" s="34"/>
    </row>
    <row r="36" spans="1:183" x14ac:dyDescent="0.25">
      <c r="A36" s="6" t="s">
        <v>250</v>
      </c>
      <c r="B36" s="25" t="s">
        <v>290</v>
      </c>
      <c r="C36" s="1" t="s">
        <v>289</v>
      </c>
      <c r="D36" s="141">
        <f t="shared" si="6"/>
        <v>38</v>
      </c>
      <c r="E36" s="141">
        <v>42</v>
      </c>
      <c r="F36" s="141">
        <v>40</v>
      </c>
      <c r="G36" s="141">
        <v>37</v>
      </c>
      <c r="H36" s="141">
        <v>33</v>
      </c>
      <c r="P36" s="77"/>
      <c r="Q36" s="159">
        <f t="shared" si="10"/>
        <v>62.5</v>
      </c>
      <c r="R36" s="141">
        <v>54</v>
      </c>
      <c r="S36" s="141">
        <v>58</v>
      </c>
      <c r="T36" s="141">
        <v>58</v>
      </c>
      <c r="U36" s="141">
        <v>62</v>
      </c>
      <c r="V36" s="141">
        <v>65</v>
      </c>
      <c r="W36" s="141">
        <v>55</v>
      </c>
      <c r="X36" s="141">
        <v>58</v>
      </c>
      <c r="Y36" s="141">
        <v>51</v>
      </c>
      <c r="Z36" s="141">
        <v>46</v>
      </c>
      <c r="AA36" s="141">
        <v>45</v>
      </c>
      <c r="AB36" s="141">
        <v>38</v>
      </c>
      <c r="AC36" s="154">
        <v>35</v>
      </c>
      <c r="AD36" s="159">
        <v>57</v>
      </c>
      <c r="AE36" s="141">
        <v>44</v>
      </c>
      <c r="AF36" s="141">
        <v>50</v>
      </c>
      <c r="AG36" s="141">
        <v>56</v>
      </c>
      <c r="AH36" s="141">
        <v>57</v>
      </c>
      <c r="AI36" s="141">
        <v>58</v>
      </c>
      <c r="AJ36" s="141">
        <v>61</v>
      </c>
      <c r="AK36" s="141">
        <v>63</v>
      </c>
      <c r="AL36" s="141">
        <v>62</v>
      </c>
      <c r="AM36" s="141">
        <v>61</v>
      </c>
      <c r="AN36" s="141">
        <v>58</v>
      </c>
      <c r="AO36" s="141">
        <v>0</v>
      </c>
      <c r="AP36" s="141">
        <v>0</v>
      </c>
      <c r="AQ36" s="9">
        <f t="shared" si="13"/>
        <v>49.6</v>
      </c>
      <c r="AR36" s="3">
        <v>28</v>
      </c>
      <c r="AS36" s="3">
        <v>32</v>
      </c>
      <c r="AT36" s="3">
        <v>37</v>
      </c>
      <c r="AU36" s="3">
        <v>42</v>
      </c>
      <c r="AV36" s="3">
        <v>41</v>
      </c>
      <c r="AW36" s="3">
        <v>40</v>
      </c>
      <c r="AX36" s="3">
        <v>48</v>
      </c>
      <c r="AY36" s="3">
        <v>51</v>
      </c>
      <c r="AZ36" s="3">
        <v>52</v>
      </c>
      <c r="BA36" s="3">
        <v>51</v>
      </c>
      <c r="BB36" s="3">
        <v>41</v>
      </c>
      <c r="BC36" s="3">
        <v>33</v>
      </c>
      <c r="BD36" s="117">
        <v>38.980000000000004</v>
      </c>
      <c r="BE36" s="3">
        <v>27</v>
      </c>
      <c r="BF36" s="3">
        <v>25</v>
      </c>
      <c r="BG36" s="3">
        <v>26</v>
      </c>
      <c r="BH36" s="3">
        <v>26</v>
      </c>
      <c r="BI36" s="3">
        <v>26</v>
      </c>
      <c r="BJ36" s="3">
        <v>31</v>
      </c>
      <c r="BK36" s="3">
        <v>31.8</v>
      </c>
      <c r="BL36" s="3">
        <v>38</v>
      </c>
      <c r="BM36" s="3">
        <v>49</v>
      </c>
      <c r="BN36" s="3">
        <v>43</v>
      </c>
      <c r="BO36" s="3">
        <v>35</v>
      </c>
      <c r="BP36" s="20">
        <v>32</v>
      </c>
      <c r="BQ36" s="65">
        <v>48.8</v>
      </c>
      <c r="BR36" s="3">
        <v>54</v>
      </c>
      <c r="BS36" s="3">
        <v>54</v>
      </c>
      <c r="BT36" s="3">
        <v>55</v>
      </c>
      <c r="BU36" s="3">
        <v>55</v>
      </c>
      <c r="BV36" s="3">
        <v>52</v>
      </c>
      <c r="BW36" s="3">
        <v>45</v>
      </c>
      <c r="BX36" s="3">
        <v>44</v>
      </c>
      <c r="BY36" s="3">
        <v>42</v>
      </c>
      <c r="BZ36" s="3">
        <v>42</v>
      </c>
      <c r="CA36" s="3">
        <v>32</v>
      </c>
      <c r="CB36" s="3">
        <v>6</v>
      </c>
      <c r="CC36" s="3">
        <v>7</v>
      </c>
      <c r="CD36" s="16">
        <v>69.061999999999998</v>
      </c>
      <c r="CE36" s="3">
        <v>65</v>
      </c>
      <c r="CF36" s="3">
        <v>66</v>
      </c>
      <c r="CG36" s="3">
        <v>64</v>
      </c>
      <c r="CH36" s="3">
        <v>58</v>
      </c>
      <c r="CI36" s="3">
        <v>62</v>
      </c>
      <c r="CJ36" s="3">
        <v>62</v>
      </c>
      <c r="CK36" s="3">
        <v>63</v>
      </c>
      <c r="CL36" s="66">
        <v>65.540000000000006</v>
      </c>
      <c r="CM36" s="66">
        <v>65.540000000000006</v>
      </c>
      <c r="CN36" s="66">
        <v>65.540000000000006</v>
      </c>
      <c r="CO36" s="3">
        <v>28</v>
      </c>
      <c r="CP36" s="3">
        <v>26</v>
      </c>
      <c r="CQ36" s="9">
        <v>70.5</v>
      </c>
      <c r="CR36" s="3">
        <v>51</v>
      </c>
      <c r="CS36" s="3">
        <v>48</v>
      </c>
      <c r="CT36" s="3">
        <v>46</v>
      </c>
      <c r="CU36" s="3">
        <v>54</v>
      </c>
      <c r="CV36" s="3">
        <v>62</v>
      </c>
      <c r="CW36" s="3">
        <v>66</v>
      </c>
      <c r="CX36" s="3">
        <v>70</v>
      </c>
      <c r="CY36" s="3">
        <v>74</v>
      </c>
      <c r="CZ36" s="3">
        <v>74</v>
      </c>
      <c r="DA36" s="3">
        <v>74</v>
      </c>
      <c r="DB36" s="3">
        <v>43</v>
      </c>
      <c r="DC36" s="3">
        <v>43</v>
      </c>
      <c r="DD36" s="9">
        <v>37.4</v>
      </c>
      <c r="DE36" s="3"/>
      <c r="DF36" s="3"/>
      <c r="DG36" s="3"/>
      <c r="DH36" s="3"/>
      <c r="DI36" s="3">
        <v>0</v>
      </c>
      <c r="DJ36" s="3">
        <v>38</v>
      </c>
      <c r="DK36" s="3">
        <v>47</v>
      </c>
      <c r="DL36" s="3">
        <v>54</v>
      </c>
      <c r="DM36" s="3">
        <v>57</v>
      </c>
      <c r="DN36" s="3">
        <v>59</v>
      </c>
      <c r="DO36" s="3">
        <v>59</v>
      </c>
      <c r="DP36" s="20">
        <v>60</v>
      </c>
      <c r="DQ36" s="89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9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20"/>
      <c r="EQ36" s="89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97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102"/>
      <c r="FR36" s="102"/>
      <c r="GA36" s="34"/>
    </row>
    <row r="37" spans="1:183" x14ac:dyDescent="0.25">
      <c r="A37" s="6"/>
      <c r="B37" s="25" t="s">
        <v>422</v>
      </c>
      <c r="C37" s="1" t="s">
        <v>423</v>
      </c>
      <c r="D37" s="141">
        <f t="shared" si="6"/>
        <v>1.5</v>
      </c>
      <c r="E37" s="141">
        <v>1</v>
      </c>
      <c r="F37" s="141">
        <v>2</v>
      </c>
      <c r="G37" s="141">
        <v>2</v>
      </c>
      <c r="H37" s="141">
        <v>1</v>
      </c>
      <c r="P37" s="77"/>
      <c r="Q37" s="159">
        <f t="shared" si="10"/>
        <v>2.5</v>
      </c>
      <c r="R37" s="87"/>
      <c r="S37" s="87"/>
      <c r="T37" s="87"/>
      <c r="U37" s="87"/>
      <c r="V37" s="87"/>
      <c r="W37" s="87"/>
      <c r="X37" s="87"/>
      <c r="Y37" s="141">
        <v>7</v>
      </c>
      <c r="Z37" s="141">
        <v>9</v>
      </c>
      <c r="AA37" s="141">
        <v>7</v>
      </c>
      <c r="AB37" s="141">
        <v>1</v>
      </c>
      <c r="AC37" s="154">
        <v>1</v>
      </c>
      <c r="AD37" s="89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9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129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90"/>
      <c r="BQ37" s="113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91"/>
      <c r="CE37" s="87"/>
      <c r="CF37" s="87"/>
      <c r="CG37" s="87"/>
      <c r="CH37" s="87"/>
      <c r="CI37" s="87"/>
      <c r="CJ37" s="87"/>
      <c r="CK37" s="87"/>
      <c r="CL37" s="92"/>
      <c r="CM37" s="92"/>
      <c r="CN37" s="92"/>
      <c r="CO37" s="87"/>
      <c r="CP37" s="87"/>
      <c r="CQ37" s="89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9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20"/>
      <c r="DQ37" s="89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9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89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87"/>
      <c r="FD37" s="97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102"/>
      <c r="FR37" s="102"/>
      <c r="GA37" s="34"/>
    </row>
    <row r="38" spans="1:183" x14ac:dyDescent="0.25">
      <c r="A38" s="6"/>
      <c r="B38" s="170" t="s">
        <v>396</v>
      </c>
      <c r="C38" s="4" t="s">
        <v>395</v>
      </c>
      <c r="D38" s="137">
        <f t="shared" si="6"/>
        <v>0</v>
      </c>
      <c r="E38" s="137">
        <v>0</v>
      </c>
      <c r="F38" s="137">
        <v>0</v>
      </c>
      <c r="G38" s="137">
        <v>0</v>
      </c>
      <c r="H38" s="137">
        <v>0</v>
      </c>
      <c r="I38" s="4"/>
      <c r="J38" s="4"/>
      <c r="K38" s="4"/>
      <c r="L38" s="4"/>
      <c r="M38" s="4"/>
      <c r="N38" s="4"/>
      <c r="O38" s="4"/>
      <c r="P38" s="178"/>
      <c r="Q38" s="158">
        <f t="shared" si="10"/>
        <v>1.2209999999999999</v>
      </c>
      <c r="R38" s="137">
        <v>0</v>
      </c>
      <c r="S38" s="137">
        <v>1.66</v>
      </c>
      <c r="T38" s="137">
        <v>1.66</v>
      </c>
      <c r="U38" s="137">
        <v>1.66</v>
      </c>
      <c r="V38" s="137">
        <v>1.53</v>
      </c>
      <c r="W38" s="137">
        <v>1.53</v>
      </c>
      <c r="X38" s="137">
        <v>1.53</v>
      </c>
      <c r="Y38" s="137">
        <v>0.99</v>
      </c>
      <c r="Z38" s="137">
        <v>0.99</v>
      </c>
      <c r="AA38" s="137">
        <v>0.66</v>
      </c>
      <c r="AB38" s="137">
        <v>0</v>
      </c>
      <c r="AC38" s="140">
        <v>0</v>
      </c>
      <c r="AD38" s="158">
        <v>1.639</v>
      </c>
      <c r="AE38" s="137">
        <v>0</v>
      </c>
      <c r="AF38" s="137">
        <v>3</v>
      </c>
      <c r="AG38" s="137">
        <v>3</v>
      </c>
      <c r="AH38" s="137">
        <v>3</v>
      </c>
      <c r="AI38" s="137">
        <v>1.33</v>
      </c>
      <c r="AJ38" s="137">
        <v>2</v>
      </c>
      <c r="AK38" s="137">
        <v>0</v>
      </c>
      <c r="AL38" s="137">
        <v>1</v>
      </c>
      <c r="AM38" s="137">
        <v>0.53</v>
      </c>
      <c r="AN38" s="137">
        <v>0.53</v>
      </c>
      <c r="AO38" s="137">
        <v>1</v>
      </c>
      <c r="AP38" s="140">
        <v>1</v>
      </c>
      <c r="AQ38" s="8">
        <f t="shared" si="13"/>
        <v>2.4710000000000001</v>
      </c>
      <c r="AR38" s="14">
        <v>0</v>
      </c>
      <c r="AS38" s="14">
        <v>3</v>
      </c>
      <c r="AT38" s="14">
        <v>3</v>
      </c>
      <c r="AU38" s="14">
        <v>2</v>
      </c>
      <c r="AV38" s="14">
        <v>3.79</v>
      </c>
      <c r="AW38" s="14">
        <v>2.46</v>
      </c>
      <c r="AX38" s="14">
        <v>2.46</v>
      </c>
      <c r="AY38" s="14">
        <v>4</v>
      </c>
      <c r="AZ38" s="14">
        <v>4</v>
      </c>
      <c r="BA38" s="14">
        <v>0</v>
      </c>
      <c r="BB38" s="14">
        <v>0</v>
      </c>
      <c r="BC38" s="19">
        <v>0</v>
      </c>
      <c r="BD38" s="130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114"/>
      <c r="BQ38" s="131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101"/>
      <c r="CE38" s="99"/>
      <c r="CF38" s="99"/>
      <c r="CG38" s="99"/>
      <c r="CH38" s="99"/>
      <c r="CI38" s="99"/>
      <c r="CJ38" s="99"/>
      <c r="CK38" s="99"/>
      <c r="CL38" s="115"/>
      <c r="CM38" s="115"/>
      <c r="CN38" s="115"/>
      <c r="CO38" s="99"/>
      <c r="CP38" s="99"/>
      <c r="CQ38" s="98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8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9"/>
      <c r="DQ38" s="98"/>
      <c r="DR38" s="99"/>
      <c r="DS38" s="99"/>
      <c r="DT38" s="99"/>
      <c r="DU38" s="99"/>
      <c r="DV38" s="99"/>
      <c r="DW38" s="99"/>
      <c r="DX38" s="99"/>
      <c r="DY38" s="99"/>
      <c r="DZ38" s="99"/>
      <c r="EA38" s="99"/>
      <c r="EB38" s="99"/>
      <c r="EC38" s="99"/>
      <c r="ED38" s="98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98"/>
      <c r="ER38" s="99"/>
      <c r="ES38" s="99"/>
      <c r="ET38" s="99"/>
      <c r="EU38" s="99"/>
      <c r="EV38" s="99"/>
      <c r="EW38" s="99"/>
      <c r="EX38" s="99"/>
      <c r="EY38" s="99"/>
      <c r="EZ38" s="99"/>
      <c r="FA38" s="99"/>
      <c r="FB38" s="99"/>
      <c r="FC38" s="99"/>
      <c r="FD38" s="100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08"/>
      <c r="FR38" s="108"/>
      <c r="GA38" s="34"/>
    </row>
    <row r="39" spans="1:183" x14ac:dyDescent="0.25">
      <c r="A39" s="6"/>
      <c r="B39" s="144" t="s">
        <v>416</v>
      </c>
      <c r="C39" s="1" t="s">
        <v>414</v>
      </c>
      <c r="D39" s="141">
        <f t="shared" ref="D39:D70" si="15">SUM(E39:P39)/$E$2</f>
        <v>7.25</v>
      </c>
      <c r="E39" s="141">
        <v>0</v>
      </c>
      <c r="F39" s="141">
        <v>9</v>
      </c>
      <c r="G39" s="141">
        <v>11</v>
      </c>
      <c r="H39" s="141">
        <v>9</v>
      </c>
      <c r="P39" s="77"/>
      <c r="Q39" s="159">
        <f t="shared" si="10"/>
        <v>6.5400000000000009</v>
      </c>
      <c r="R39" s="141">
        <v>0</v>
      </c>
      <c r="S39" s="141">
        <v>4</v>
      </c>
      <c r="T39" s="141">
        <v>6</v>
      </c>
      <c r="U39" s="141">
        <v>6</v>
      </c>
      <c r="V39" s="141">
        <v>7</v>
      </c>
      <c r="W39" s="141">
        <v>9</v>
      </c>
      <c r="X39" s="141">
        <v>7</v>
      </c>
      <c r="Y39" s="141">
        <v>9.4</v>
      </c>
      <c r="Z39" s="141">
        <v>9</v>
      </c>
      <c r="AA39" s="141">
        <v>8</v>
      </c>
      <c r="AB39" s="141">
        <v>0</v>
      </c>
      <c r="AC39" s="154">
        <v>0</v>
      </c>
      <c r="AD39" s="89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90"/>
      <c r="AQ39" s="89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90"/>
      <c r="BD39" s="129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90"/>
      <c r="BQ39" s="113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91"/>
      <c r="CE39" s="87"/>
      <c r="CF39" s="87"/>
      <c r="CG39" s="87"/>
      <c r="CH39" s="87"/>
      <c r="CI39" s="87"/>
      <c r="CJ39" s="87"/>
      <c r="CK39" s="87"/>
      <c r="CL39" s="92"/>
      <c r="CM39" s="92"/>
      <c r="CN39" s="92"/>
      <c r="CO39" s="87"/>
      <c r="CP39" s="87"/>
      <c r="CQ39" s="89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9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20"/>
      <c r="DQ39" s="89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9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89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97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102"/>
      <c r="FR39" s="102"/>
      <c r="GA39" s="34"/>
    </row>
    <row r="40" spans="1:183" x14ac:dyDescent="0.25">
      <c r="A40" s="12" t="s">
        <v>303</v>
      </c>
      <c r="B40" s="25" t="s">
        <v>302</v>
      </c>
      <c r="C40" s="1" t="s">
        <v>301</v>
      </c>
      <c r="D40" s="141">
        <f t="shared" si="15"/>
        <v>6.5</v>
      </c>
      <c r="E40" s="141">
        <v>7</v>
      </c>
      <c r="F40" s="141">
        <v>7</v>
      </c>
      <c r="G40" s="141">
        <v>7</v>
      </c>
      <c r="H40" s="141">
        <v>5</v>
      </c>
      <c r="P40" s="77"/>
      <c r="Q40" s="159">
        <f t="shared" si="10"/>
        <v>12.6</v>
      </c>
      <c r="R40" s="141">
        <v>12</v>
      </c>
      <c r="S40" s="141">
        <v>12</v>
      </c>
      <c r="T40" s="141">
        <v>14</v>
      </c>
      <c r="U40" s="141">
        <v>14</v>
      </c>
      <c r="V40" s="141">
        <v>14</v>
      </c>
      <c r="W40" s="141">
        <v>15</v>
      </c>
      <c r="X40" s="141">
        <v>14</v>
      </c>
      <c r="Y40" s="141">
        <v>11</v>
      </c>
      <c r="Z40" s="141">
        <v>10</v>
      </c>
      <c r="AA40" s="141">
        <v>10</v>
      </c>
      <c r="AB40" s="141">
        <v>0</v>
      </c>
      <c r="AC40" s="154">
        <v>0</v>
      </c>
      <c r="AD40" s="159">
        <v>5.8</v>
      </c>
      <c r="AE40" s="141">
        <v>4</v>
      </c>
      <c r="AF40" s="141">
        <v>4</v>
      </c>
      <c r="AG40" s="141">
        <v>4</v>
      </c>
      <c r="AH40" s="141">
        <v>5</v>
      </c>
      <c r="AI40" s="141">
        <v>5</v>
      </c>
      <c r="AJ40" s="141">
        <v>6</v>
      </c>
      <c r="AK40" s="141">
        <v>6</v>
      </c>
      <c r="AL40" s="141">
        <v>8</v>
      </c>
      <c r="AM40" s="141">
        <v>8</v>
      </c>
      <c r="AN40" s="141">
        <v>8</v>
      </c>
      <c r="AO40" s="141">
        <v>0</v>
      </c>
      <c r="AP40" s="154">
        <v>0</v>
      </c>
      <c r="AQ40" s="9">
        <f t="shared" si="13"/>
        <v>3.4</v>
      </c>
      <c r="AR40" s="3">
        <v>2</v>
      </c>
      <c r="AS40" s="3">
        <v>2</v>
      </c>
      <c r="AT40" s="3">
        <v>2</v>
      </c>
      <c r="AU40" s="3">
        <v>2</v>
      </c>
      <c r="AV40" s="3">
        <v>5</v>
      </c>
      <c r="AW40" s="3">
        <v>6</v>
      </c>
      <c r="AX40" s="3">
        <v>4</v>
      </c>
      <c r="AY40" s="3">
        <v>3</v>
      </c>
      <c r="AZ40" s="3">
        <v>5</v>
      </c>
      <c r="BA40" s="3">
        <v>3</v>
      </c>
      <c r="BB40" s="3">
        <v>0</v>
      </c>
      <c r="BC40" s="20">
        <v>0</v>
      </c>
      <c r="BD40" s="117">
        <v>2.7</v>
      </c>
      <c r="BE40" s="3">
        <v>2</v>
      </c>
      <c r="BF40" s="3">
        <v>1</v>
      </c>
      <c r="BG40" s="3">
        <v>2</v>
      </c>
      <c r="BH40" s="3">
        <v>2</v>
      </c>
      <c r="BI40" s="3">
        <v>3</v>
      </c>
      <c r="BJ40" s="3">
        <v>3</v>
      </c>
      <c r="BK40" s="3">
        <v>3</v>
      </c>
      <c r="BL40" s="3">
        <v>4</v>
      </c>
      <c r="BM40" s="3">
        <v>4</v>
      </c>
      <c r="BN40" s="3">
        <v>3</v>
      </c>
      <c r="BO40" s="3">
        <v>0</v>
      </c>
      <c r="BP40" s="20">
        <v>0</v>
      </c>
      <c r="BQ40" s="65">
        <v>5.4169999999999998</v>
      </c>
      <c r="BR40" s="3">
        <v>5</v>
      </c>
      <c r="BS40" s="3">
        <v>6.17</v>
      </c>
      <c r="BT40" s="3">
        <v>8</v>
      </c>
      <c r="BU40" s="3">
        <v>9</v>
      </c>
      <c r="BV40" s="3">
        <v>6</v>
      </c>
      <c r="BW40" s="3">
        <v>5</v>
      </c>
      <c r="BX40" s="3">
        <v>4</v>
      </c>
      <c r="BY40" s="3">
        <v>3</v>
      </c>
      <c r="BZ40" s="3">
        <v>4</v>
      </c>
      <c r="CA40" s="3">
        <v>4</v>
      </c>
      <c r="CB40" s="3">
        <v>0</v>
      </c>
      <c r="CC40" s="3">
        <v>0</v>
      </c>
      <c r="CD40" s="16">
        <v>4.8800000000000008</v>
      </c>
      <c r="CE40" s="3">
        <v>0</v>
      </c>
      <c r="CF40" s="3">
        <v>6.4</v>
      </c>
      <c r="CG40" s="3">
        <v>6</v>
      </c>
      <c r="CH40" s="3">
        <v>6.33</v>
      </c>
      <c r="CI40" s="3">
        <v>6.7</v>
      </c>
      <c r="CJ40" s="3">
        <v>4.49</v>
      </c>
      <c r="CK40" s="3">
        <v>4.49</v>
      </c>
      <c r="CL40" s="66">
        <v>4.8099999999999996</v>
      </c>
      <c r="CM40" s="66">
        <v>4.9399999999999995</v>
      </c>
      <c r="CN40" s="66">
        <v>4.6400000000000006</v>
      </c>
      <c r="CO40" s="3">
        <v>0</v>
      </c>
      <c r="CP40" s="3">
        <v>0</v>
      </c>
      <c r="CQ40" s="9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9">
        <v>0</v>
      </c>
      <c r="DE40" s="3"/>
      <c r="DF40" s="3"/>
      <c r="DG40" s="3"/>
      <c r="DH40" s="3"/>
      <c r="DI40" s="3"/>
      <c r="DJ40" s="3"/>
      <c r="DK40" s="3"/>
      <c r="DL40" s="3"/>
      <c r="DM40" s="3"/>
      <c r="DN40" s="3">
        <v>0</v>
      </c>
      <c r="DO40" s="3">
        <v>0</v>
      </c>
      <c r="DP40" s="20">
        <v>0</v>
      </c>
      <c r="DQ40" s="89"/>
      <c r="DR40" s="87"/>
      <c r="DS40" s="87"/>
      <c r="DT40" s="87"/>
      <c r="DU40" s="87"/>
      <c r="DV40" s="87"/>
      <c r="DW40" s="87"/>
      <c r="DX40" s="87"/>
      <c r="DY40" s="87"/>
      <c r="DZ40" s="87"/>
      <c r="EA40" s="87"/>
      <c r="EB40" s="87"/>
      <c r="EC40" s="87"/>
      <c r="ED40" s="89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89"/>
      <c r="ER40" s="87"/>
      <c r="ES40" s="87"/>
      <c r="ET40" s="87"/>
      <c r="EU40" s="87"/>
      <c r="EV40" s="87"/>
      <c r="EW40" s="87"/>
      <c r="EX40" s="87"/>
      <c r="EY40" s="87"/>
      <c r="EZ40" s="87"/>
      <c r="FA40" s="87"/>
      <c r="FB40" s="87"/>
      <c r="FC40" s="87"/>
      <c r="FD40" s="97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102"/>
      <c r="FR40" s="102"/>
      <c r="GA40" s="34"/>
    </row>
    <row r="41" spans="1:183" x14ac:dyDescent="0.25">
      <c r="A41" s="11" t="s">
        <v>228</v>
      </c>
      <c r="B41" s="26" t="s">
        <v>240</v>
      </c>
      <c r="C41" s="7" t="s">
        <v>239</v>
      </c>
      <c r="D41" s="142">
        <f t="shared" si="15"/>
        <v>2.75</v>
      </c>
      <c r="E41" s="142">
        <v>1</v>
      </c>
      <c r="F41" s="142">
        <v>1</v>
      </c>
      <c r="G41" s="142">
        <v>5</v>
      </c>
      <c r="H41" s="142">
        <v>4</v>
      </c>
      <c r="I41" s="7"/>
      <c r="J41" s="7"/>
      <c r="K41" s="7"/>
      <c r="L41" s="7"/>
      <c r="M41" s="7"/>
      <c r="N41" s="7"/>
      <c r="O41" s="7"/>
      <c r="P41" s="179"/>
      <c r="Q41" s="160">
        <f t="shared" si="10"/>
        <v>3.6</v>
      </c>
      <c r="R41" s="142">
        <v>2</v>
      </c>
      <c r="S41" s="142">
        <v>4</v>
      </c>
      <c r="T41" s="142">
        <v>4</v>
      </c>
      <c r="U41" s="142">
        <v>2</v>
      </c>
      <c r="V41" s="142">
        <v>3</v>
      </c>
      <c r="W41" s="142">
        <v>3</v>
      </c>
      <c r="X41" s="142">
        <v>3</v>
      </c>
      <c r="Y41" s="142">
        <v>3</v>
      </c>
      <c r="Z41" s="142">
        <v>4</v>
      </c>
      <c r="AA41" s="142">
        <v>3</v>
      </c>
      <c r="AB41" s="142">
        <v>3</v>
      </c>
      <c r="AC41" s="155">
        <v>2</v>
      </c>
      <c r="AD41" s="159">
        <v>3.7</v>
      </c>
      <c r="AE41" s="142">
        <v>2</v>
      </c>
      <c r="AF41" s="142">
        <v>5</v>
      </c>
      <c r="AG41" s="142">
        <v>4</v>
      </c>
      <c r="AH41" s="142">
        <v>3</v>
      </c>
      <c r="AI41" s="142">
        <v>2</v>
      </c>
      <c r="AJ41" s="142">
        <v>3</v>
      </c>
      <c r="AK41" s="142">
        <v>2</v>
      </c>
      <c r="AL41" s="142">
        <v>3</v>
      </c>
      <c r="AM41" s="142">
        <v>3</v>
      </c>
      <c r="AN41" s="142">
        <v>4</v>
      </c>
      <c r="AO41" s="142">
        <v>6</v>
      </c>
      <c r="AP41" s="155">
        <v>0</v>
      </c>
      <c r="AQ41" s="10">
        <f t="shared" si="13"/>
        <v>4</v>
      </c>
      <c r="AR41" s="15">
        <v>5</v>
      </c>
      <c r="AS41" s="15">
        <v>6</v>
      </c>
      <c r="AT41" s="15">
        <v>4</v>
      </c>
      <c r="AU41" s="15">
        <v>4</v>
      </c>
      <c r="AV41" s="15">
        <v>3</v>
      </c>
      <c r="AW41" s="15">
        <v>3</v>
      </c>
      <c r="AX41" s="15">
        <v>3</v>
      </c>
      <c r="AY41" s="15">
        <v>3</v>
      </c>
      <c r="AZ41" s="15">
        <v>3</v>
      </c>
      <c r="BA41" s="15">
        <v>3</v>
      </c>
      <c r="BB41" s="15">
        <v>2</v>
      </c>
      <c r="BC41" s="21">
        <v>1</v>
      </c>
      <c r="BD41" s="118">
        <v>3.7</v>
      </c>
      <c r="BE41" s="15">
        <v>6</v>
      </c>
      <c r="BF41" s="15">
        <v>4</v>
      </c>
      <c r="BG41" s="15">
        <v>5</v>
      </c>
      <c r="BH41" s="15">
        <v>4</v>
      </c>
      <c r="BI41" s="15">
        <v>4</v>
      </c>
      <c r="BJ41" s="15">
        <v>3</v>
      </c>
      <c r="BK41" s="15">
        <v>3</v>
      </c>
      <c r="BL41" s="15">
        <v>3</v>
      </c>
      <c r="BM41" s="15">
        <v>2</v>
      </c>
      <c r="BN41" s="15">
        <v>2</v>
      </c>
      <c r="BO41" s="15">
        <v>1</v>
      </c>
      <c r="BP41" s="21">
        <v>0</v>
      </c>
      <c r="BQ41" s="73">
        <v>4.4000000000000004</v>
      </c>
      <c r="BR41" s="15">
        <v>1</v>
      </c>
      <c r="BS41" s="15">
        <v>0</v>
      </c>
      <c r="BT41" s="15">
        <v>1</v>
      </c>
      <c r="BU41" s="15">
        <v>1</v>
      </c>
      <c r="BV41" s="15">
        <v>2</v>
      </c>
      <c r="BW41" s="15">
        <v>4</v>
      </c>
      <c r="BX41" s="15">
        <v>4</v>
      </c>
      <c r="BY41" s="15">
        <v>4</v>
      </c>
      <c r="BZ41" s="15">
        <v>5</v>
      </c>
      <c r="CA41" s="15">
        <v>8</v>
      </c>
      <c r="CB41" s="15">
        <v>7</v>
      </c>
      <c r="CC41" s="15">
        <v>7</v>
      </c>
      <c r="CD41" s="18">
        <v>0.84899999999999998</v>
      </c>
      <c r="CE41" s="15">
        <v>0</v>
      </c>
      <c r="CF41" s="15">
        <v>0</v>
      </c>
      <c r="CG41" s="15">
        <v>2</v>
      </c>
      <c r="CH41" s="15">
        <v>1</v>
      </c>
      <c r="CI41" s="15">
        <v>0</v>
      </c>
      <c r="CJ41" s="15">
        <v>1</v>
      </c>
      <c r="CK41" s="15">
        <v>2</v>
      </c>
      <c r="CL41" s="74">
        <v>0.83</v>
      </c>
      <c r="CM41" s="74">
        <v>0.83</v>
      </c>
      <c r="CN41" s="74">
        <v>0.83</v>
      </c>
      <c r="CO41" s="15">
        <v>0</v>
      </c>
      <c r="CP41" s="15">
        <v>0</v>
      </c>
      <c r="CQ41" s="10">
        <v>4.2</v>
      </c>
      <c r="CR41" s="15">
        <v>1</v>
      </c>
      <c r="CS41" s="15">
        <v>5</v>
      </c>
      <c r="CT41" s="15">
        <v>1</v>
      </c>
      <c r="CU41" s="15">
        <v>2</v>
      </c>
      <c r="CV41" s="15">
        <v>4</v>
      </c>
      <c r="CW41" s="15">
        <v>6</v>
      </c>
      <c r="CX41" s="15">
        <v>6</v>
      </c>
      <c r="CY41" s="15">
        <v>5</v>
      </c>
      <c r="CZ41" s="15">
        <v>5</v>
      </c>
      <c r="DA41" s="15">
        <v>5</v>
      </c>
      <c r="DB41" s="15">
        <v>2</v>
      </c>
      <c r="DC41" s="15">
        <v>0</v>
      </c>
      <c r="DD41" s="10">
        <v>4.3</v>
      </c>
      <c r="DE41" s="15">
        <v>0</v>
      </c>
      <c r="DF41" s="15">
        <v>4</v>
      </c>
      <c r="DG41" s="15">
        <v>4</v>
      </c>
      <c r="DH41" s="15">
        <v>5</v>
      </c>
      <c r="DI41" s="15">
        <v>5</v>
      </c>
      <c r="DJ41" s="15">
        <v>4</v>
      </c>
      <c r="DK41" s="15">
        <v>6</v>
      </c>
      <c r="DL41" s="15">
        <v>4</v>
      </c>
      <c r="DM41" s="15">
        <v>4</v>
      </c>
      <c r="DN41" s="15">
        <v>6</v>
      </c>
      <c r="DO41" s="15">
        <v>0</v>
      </c>
      <c r="DP41" s="21">
        <v>1</v>
      </c>
      <c r="DQ41" s="10">
        <v>0.5</v>
      </c>
      <c r="DR41" s="15">
        <v>0</v>
      </c>
      <c r="DS41" s="15">
        <v>0</v>
      </c>
      <c r="DT41" s="15">
        <v>1</v>
      </c>
      <c r="DU41" s="15">
        <v>1</v>
      </c>
      <c r="DV41" s="15">
        <v>0</v>
      </c>
      <c r="DW41" s="15">
        <v>1</v>
      </c>
      <c r="DX41" s="15">
        <v>1</v>
      </c>
      <c r="DY41" s="15">
        <v>1</v>
      </c>
      <c r="DZ41" s="15">
        <v>0</v>
      </c>
      <c r="EA41" s="15">
        <v>0</v>
      </c>
      <c r="EB41" s="15">
        <v>0</v>
      </c>
      <c r="EC41" s="15">
        <v>0</v>
      </c>
      <c r="ED41" s="104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04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6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03"/>
      <c r="FR41" s="103"/>
      <c r="GA41" s="34"/>
    </row>
    <row r="42" spans="1:183" x14ac:dyDescent="0.25">
      <c r="A42" s="6" t="s">
        <v>228</v>
      </c>
      <c r="B42" s="25" t="s">
        <v>241</v>
      </c>
      <c r="C42" s="1" t="s">
        <v>242</v>
      </c>
      <c r="D42" s="141">
        <f t="shared" si="15"/>
        <v>7.5</v>
      </c>
      <c r="E42" s="141">
        <v>7</v>
      </c>
      <c r="F42" s="141">
        <v>7</v>
      </c>
      <c r="G42" s="141">
        <v>11</v>
      </c>
      <c r="H42" s="141">
        <v>5</v>
      </c>
      <c r="P42" s="77"/>
      <c r="Q42" s="159">
        <f t="shared" si="10"/>
        <v>9.4</v>
      </c>
      <c r="R42" s="141">
        <v>8</v>
      </c>
      <c r="S42" s="141">
        <v>8</v>
      </c>
      <c r="T42" s="141">
        <v>8</v>
      </c>
      <c r="U42" s="141">
        <v>8</v>
      </c>
      <c r="V42" s="141">
        <v>10</v>
      </c>
      <c r="W42" s="141">
        <v>9</v>
      </c>
      <c r="X42" s="141">
        <v>8</v>
      </c>
      <c r="Y42" s="141">
        <v>12</v>
      </c>
      <c r="Z42" s="141">
        <v>10</v>
      </c>
      <c r="AA42" s="141">
        <v>13</v>
      </c>
      <c r="AB42" s="141">
        <v>0</v>
      </c>
      <c r="AC42" s="154">
        <v>0</v>
      </c>
      <c r="AD42" s="158">
        <v>13.8</v>
      </c>
      <c r="AE42" s="141">
        <v>10</v>
      </c>
      <c r="AF42" s="141">
        <v>14</v>
      </c>
      <c r="AG42" s="141">
        <v>16</v>
      </c>
      <c r="AH42" s="141">
        <v>10</v>
      </c>
      <c r="AI42" s="141">
        <v>11</v>
      </c>
      <c r="AJ42" s="141">
        <v>12</v>
      </c>
      <c r="AK42" s="141">
        <v>12</v>
      </c>
      <c r="AL42" s="141">
        <v>18</v>
      </c>
      <c r="AM42" s="141">
        <v>19</v>
      </c>
      <c r="AN42" s="141">
        <v>16</v>
      </c>
      <c r="AO42" s="141">
        <v>0</v>
      </c>
      <c r="AP42" s="141">
        <v>0</v>
      </c>
      <c r="AQ42" s="9">
        <f t="shared" si="13"/>
        <v>9.9</v>
      </c>
      <c r="AR42" s="3">
        <v>6</v>
      </c>
      <c r="AS42" s="3">
        <v>6</v>
      </c>
      <c r="AT42" s="3">
        <v>7</v>
      </c>
      <c r="AU42" s="3">
        <v>7</v>
      </c>
      <c r="AV42" s="3">
        <v>7</v>
      </c>
      <c r="AW42" s="3">
        <v>12</v>
      </c>
      <c r="AX42" s="3">
        <v>16</v>
      </c>
      <c r="AY42" s="3">
        <v>17</v>
      </c>
      <c r="AZ42" s="3">
        <v>12</v>
      </c>
      <c r="BA42" s="3">
        <v>9</v>
      </c>
      <c r="BB42" s="3">
        <v>0</v>
      </c>
      <c r="BC42" s="3">
        <v>0</v>
      </c>
      <c r="BD42" s="117">
        <v>5.3</v>
      </c>
      <c r="BE42" s="3">
        <v>1</v>
      </c>
      <c r="BF42" s="3">
        <v>4</v>
      </c>
      <c r="BG42" s="3">
        <v>3</v>
      </c>
      <c r="BH42" s="3">
        <v>4</v>
      </c>
      <c r="BI42" s="3">
        <v>2</v>
      </c>
      <c r="BJ42" s="3">
        <v>3</v>
      </c>
      <c r="BK42" s="3">
        <v>5</v>
      </c>
      <c r="BL42" s="3">
        <v>11</v>
      </c>
      <c r="BM42" s="3">
        <v>10</v>
      </c>
      <c r="BN42" s="3">
        <v>10</v>
      </c>
      <c r="BO42" s="3">
        <v>0</v>
      </c>
      <c r="BP42" s="20">
        <v>0</v>
      </c>
      <c r="BQ42" s="65">
        <v>2.6</v>
      </c>
      <c r="BR42" s="3">
        <v>2</v>
      </c>
      <c r="BS42" s="3">
        <v>3</v>
      </c>
      <c r="BT42" s="3">
        <v>4</v>
      </c>
      <c r="BU42" s="3">
        <v>3</v>
      </c>
      <c r="BV42" s="3">
        <v>3</v>
      </c>
      <c r="BW42" s="3">
        <v>4</v>
      </c>
      <c r="BX42" s="3">
        <v>4</v>
      </c>
      <c r="BY42" s="3">
        <v>1</v>
      </c>
      <c r="BZ42" s="3">
        <v>1</v>
      </c>
      <c r="CA42" s="3">
        <v>1</v>
      </c>
      <c r="CB42" s="3">
        <v>0</v>
      </c>
      <c r="CC42" s="3">
        <v>0</v>
      </c>
      <c r="CD42" s="16">
        <v>3.5</v>
      </c>
      <c r="CE42" s="3">
        <v>3</v>
      </c>
      <c r="CF42" s="3">
        <v>5</v>
      </c>
      <c r="CG42" s="3">
        <v>3</v>
      </c>
      <c r="CH42" s="3">
        <v>6</v>
      </c>
      <c r="CI42" s="3">
        <v>3</v>
      </c>
      <c r="CJ42" s="3">
        <v>2</v>
      </c>
      <c r="CK42" s="3">
        <v>6</v>
      </c>
      <c r="CL42" s="66">
        <v>2</v>
      </c>
      <c r="CM42" s="66">
        <v>2</v>
      </c>
      <c r="CN42" s="66">
        <v>3</v>
      </c>
      <c r="CO42" s="3">
        <v>0</v>
      </c>
      <c r="CP42" s="3">
        <v>0</v>
      </c>
      <c r="CQ42" s="9">
        <v>3.7</v>
      </c>
      <c r="CR42" s="3">
        <v>3</v>
      </c>
      <c r="CS42" s="3">
        <v>4</v>
      </c>
      <c r="CT42" s="3">
        <v>6</v>
      </c>
      <c r="CU42" s="3">
        <v>5</v>
      </c>
      <c r="CV42" s="3">
        <v>5</v>
      </c>
      <c r="CW42" s="3">
        <v>5</v>
      </c>
      <c r="CX42" s="3">
        <v>2</v>
      </c>
      <c r="CY42" s="3">
        <v>2</v>
      </c>
      <c r="CZ42" s="3">
        <v>2</v>
      </c>
      <c r="DA42" s="3">
        <v>3</v>
      </c>
      <c r="DB42" s="3">
        <v>0</v>
      </c>
      <c r="DC42" s="3">
        <v>0</v>
      </c>
      <c r="DD42" s="9">
        <v>6.9</v>
      </c>
      <c r="DE42" s="3">
        <v>6</v>
      </c>
      <c r="DF42" s="3">
        <v>8</v>
      </c>
      <c r="DG42" s="3">
        <v>10</v>
      </c>
      <c r="DH42" s="3">
        <v>7</v>
      </c>
      <c r="DI42" s="3">
        <v>7</v>
      </c>
      <c r="DJ42" s="3">
        <v>6</v>
      </c>
      <c r="DK42" s="3">
        <v>5</v>
      </c>
      <c r="DL42" s="3">
        <v>7</v>
      </c>
      <c r="DM42" s="3">
        <v>11</v>
      </c>
      <c r="DN42" s="3">
        <v>2</v>
      </c>
      <c r="DO42" s="3">
        <v>0</v>
      </c>
      <c r="DP42" s="20">
        <v>0</v>
      </c>
      <c r="DQ42" s="9">
        <v>3.6</v>
      </c>
      <c r="DR42" s="3">
        <v>0</v>
      </c>
      <c r="DS42" s="3">
        <v>1</v>
      </c>
      <c r="DT42" s="3">
        <v>1</v>
      </c>
      <c r="DU42" s="3">
        <v>1</v>
      </c>
      <c r="DV42" s="3">
        <v>1</v>
      </c>
      <c r="DW42" s="3">
        <v>1</v>
      </c>
      <c r="DX42" s="3">
        <v>4</v>
      </c>
      <c r="DY42" s="3">
        <v>7</v>
      </c>
      <c r="DZ42" s="3">
        <v>8</v>
      </c>
      <c r="EA42" s="3">
        <v>12</v>
      </c>
      <c r="EB42" s="3">
        <v>0</v>
      </c>
      <c r="EC42" s="3">
        <v>0</v>
      </c>
      <c r="ED42" s="89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89"/>
      <c r="ER42" s="87"/>
      <c r="ES42" s="87"/>
      <c r="ET42" s="87"/>
      <c r="EU42" s="87"/>
      <c r="EV42" s="87"/>
      <c r="EW42" s="87"/>
      <c r="EX42" s="87"/>
      <c r="EY42" s="87"/>
      <c r="EZ42" s="87"/>
      <c r="FA42" s="87"/>
      <c r="FB42" s="87"/>
      <c r="FC42" s="87"/>
      <c r="FD42" s="97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102"/>
      <c r="FR42" s="102"/>
      <c r="GA42" s="34"/>
    </row>
    <row r="43" spans="1:183" x14ac:dyDescent="0.25">
      <c r="A43" s="6" t="s">
        <v>329</v>
      </c>
      <c r="B43" s="25" t="s">
        <v>341</v>
      </c>
      <c r="C43" s="1" t="s">
        <v>339</v>
      </c>
      <c r="D43" s="141">
        <f t="shared" si="15"/>
        <v>23.25</v>
      </c>
      <c r="E43" s="141">
        <v>11</v>
      </c>
      <c r="F43" s="141">
        <v>24</v>
      </c>
      <c r="G43" s="141">
        <v>31</v>
      </c>
      <c r="H43" s="141">
        <v>27</v>
      </c>
      <c r="P43" s="77"/>
      <c r="Q43" s="159">
        <f t="shared" si="10"/>
        <v>36.1</v>
      </c>
      <c r="R43" s="141">
        <v>27</v>
      </c>
      <c r="S43" s="141">
        <v>33</v>
      </c>
      <c r="T43" s="141">
        <v>33</v>
      </c>
      <c r="U43" s="141">
        <v>33</v>
      </c>
      <c r="V43" s="141">
        <v>31</v>
      </c>
      <c r="W43" s="141">
        <v>32</v>
      </c>
      <c r="X43" s="141">
        <v>36</v>
      </c>
      <c r="Y43" s="141">
        <v>38</v>
      </c>
      <c r="Z43" s="141">
        <v>38</v>
      </c>
      <c r="AA43" s="141">
        <v>38</v>
      </c>
      <c r="AB43" s="141">
        <v>15</v>
      </c>
      <c r="AC43" s="154">
        <v>7</v>
      </c>
      <c r="AD43" s="159">
        <v>27.7</v>
      </c>
      <c r="AE43" s="141">
        <v>7</v>
      </c>
      <c r="AF43" s="141">
        <v>16</v>
      </c>
      <c r="AG43" s="141">
        <v>20</v>
      </c>
      <c r="AH43" s="141">
        <v>24</v>
      </c>
      <c r="AI43" s="141">
        <v>25</v>
      </c>
      <c r="AJ43" s="141">
        <v>25</v>
      </c>
      <c r="AK43" s="141">
        <v>27</v>
      </c>
      <c r="AL43" s="141">
        <v>31</v>
      </c>
      <c r="AM43" s="141">
        <v>34</v>
      </c>
      <c r="AN43" s="141">
        <v>38</v>
      </c>
      <c r="AO43" s="141">
        <v>22</v>
      </c>
      <c r="AP43" s="141">
        <v>8</v>
      </c>
      <c r="AQ43" s="9">
        <f t="shared" si="13"/>
        <v>26.3</v>
      </c>
      <c r="AR43" s="3">
        <v>16</v>
      </c>
      <c r="AS43" s="3">
        <v>22</v>
      </c>
      <c r="AT43" s="3">
        <v>23</v>
      </c>
      <c r="AU43" s="3">
        <v>25</v>
      </c>
      <c r="AV43" s="3">
        <v>28</v>
      </c>
      <c r="AW43" s="3">
        <v>30</v>
      </c>
      <c r="AX43" s="3">
        <v>29</v>
      </c>
      <c r="AY43" s="3">
        <v>28</v>
      </c>
      <c r="AZ43" s="3">
        <v>25</v>
      </c>
      <c r="BA43" s="3">
        <v>26</v>
      </c>
      <c r="BB43" s="3">
        <v>8</v>
      </c>
      <c r="BC43" s="3">
        <v>3</v>
      </c>
      <c r="BD43" s="117">
        <v>18.399999999999999</v>
      </c>
      <c r="BE43" s="3">
        <v>11</v>
      </c>
      <c r="BF43" s="3">
        <v>11</v>
      </c>
      <c r="BG43" s="3">
        <v>15</v>
      </c>
      <c r="BH43" s="3">
        <v>17</v>
      </c>
      <c r="BI43" s="3">
        <v>17</v>
      </c>
      <c r="BJ43" s="3">
        <v>19</v>
      </c>
      <c r="BK43" s="3">
        <v>18</v>
      </c>
      <c r="BL43" s="3">
        <v>19</v>
      </c>
      <c r="BM43" s="3">
        <v>22</v>
      </c>
      <c r="BN43" s="3">
        <v>21</v>
      </c>
      <c r="BO43" s="3">
        <v>9</v>
      </c>
      <c r="BP43" s="20">
        <v>5</v>
      </c>
      <c r="BQ43" s="65">
        <v>11.4</v>
      </c>
      <c r="BR43" s="3">
        <v>5</v>
      </c>
      <c r="BS43" s="3">
        <v>6</v>
      </c>
      <c r="BT43" s="3">
        <v>7</v>
      </c>
      <c r="BU43" s="3">
        <v>6</v>
      </c>
      <c r="BV43" s="3">
        <v>9</v>
      </c>
      <c r="BW43" s="3">
        <v>11</v>
      </c>
      <c r="BX43" s="3">
        <v>14</v>
      </c>
      <c r="BY43" s="3">
        <v>16</v>
      </c>
      <c r="BZ43" s="3">
        <v>16</v>
      </c>
      <c r="CA43" s="3">
        <v>17</v>
      </c>
      <c r="CB43" s="3">
        <v>5</v>
      </c>
      <c r="CC43" s="3">
        <v>2</v>
      </c>
      <c r="CD43" s="16">
        <v>6.2530000000000001</v>
      </c>
      <c r="CE43" s="3">
        <v>0</v>
      </c>
      <c r="CF43" s="3">
        <v>2</v>
      </c>
      <c r="CG43" s="3">
        <v>3</v>
      </c>
      <c r="CH43" s="3">
        <v>6</v>
      </c>
      <c r="CI43" s="3">
        <v>6</v>
      </c>
      <c r="CJ43" s="3">
        <v>7</v>
      </c>
      <c r="CK43" s="3">
        <v>7</v>
      </c>
      <c r="CL43" s="66">
        <v>7.53</v>
      </c>
      <c r="CM43" s="66">
        <v>7.67</v>
      </c>
      <c r="CN43" s="66">
        <v>7.33</v>
      </c>
      <c r="CO43" s="3">
        <v>8</v>
      </c>
      <c r="CP43" s="3">
        <v>1</v>
      </c>
      <c r="CQ43" s="89"/>
      <c r="CR43" s="87"/>
      <c r="CS43" s="87"/>
      <c r="CT43" s="87"/>
      <c r="CU43" s="87"/>
      <c r="CV43" s="87"/>
      <c r="CW43" s="87"/>
      <c r="CX43" s="87"/>
      <c r="CY43" s="87"/>
      <c r="CZ43" s="87"/>
      <c r="DA43" s="88"/>
      <c r="DB43" s="88"/>
      <c r="DC43" s="88"/>
      <c r="DD43" s="89"/>
      <c r="DE43" s="87"/>
      <c r="DF43" s="87"/>
      <c r="DG43" s="87"/>
      <c r="DH43" s="87"/>
      <c r="DI43" s="87"/>
      <c r="DJ43" s="87"/>
      <c r="DK43" s="87"/>
      <c r="DL43" s="87"/>
      <c r="DM43" s="87"/>
      <c r="DN43" s="88"/>
      <c r="DO43" s="88"/>
      <c r="DP43" s="88"/>
      <c r="DQ43" s="89"/>
      <c r="DR43" s="87"/>
      <c r="DS43" s="87"/>
      <c r="DT43" s="87"/>
      <c r="DU43" s="87"/>
      <c r="DV43" s="87"/>
      <c r="DW43" s="87"/>
      <c r="DX43" s="87"/>
      <c r="DY43" s="87"/>
      <c r="DZ43" s="87"/>
      <c r="EA43" s="88"/>
      <c r="EB43" s="88"/>
      <c r="EC43" s="88"/>
      <c r="ED43" s="89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89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97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102"/>
      <c r="FR43" s="102"/>
      <c r="GA43" s="34"/>
    </row>
    <row r="44" spans="1:183" x14ac:dyDescent="0.25">
      <c r="A44" s="6" t="s">
        <v>88</v>
      </c>
      <c r="B44" s="25" t="s">
        <v>74</v>
      </c>
      <c r="C44" s="1" t="s">
        <v>62</v>
      </c>
      <c r="D44" s="141">
        <f t="shared" si="15"/>
        <v>26.25</v>
      </c>
      <c r="E44" s="141">
        <v>17</v>
      </c>
      <c r="F44" s="141">
        <v>30</v>
      </c>
      <c r="G44" s="141">
        <v>30</v>
      </c>
      <c r="H44" s="141">
        <v>28</v>
      </c>
      <c r="P44" s="77"/>
      <c r="Q44" s="159">
        <f t="shared" si="10"/>
        <v>26.3</v>
      </c>
      <c r="R44" s="141">
        <v>26</v>
      </c>
      <c r="S44" s="141">
        <v>26</v>
      </c>
      <c r="T44" s="141">
        <v>29</v>
      </c>
      <c r="U44" s="141">
        <v>25</v>
      </c>
      <c r="V44" s="141">
        <v>24</v>
      </c>
      <c r="W44" s="141">
        <v>26</v>
      </c>
      <c r="X44" s="141">
        <v>20</v>
      </c>
      <c r="Y44" s="141">
        <v>23</v>
      </c>
      <c r="Z44" s="141">
        <v>21</v>
      </c>
      <c r="AA44" s="141">
        <v>20</v>
      </c>
      <c r="AB44" s="141">
        <v>14</v>
      </c>
      <c r="AC44" s="154">
        <v>9</v>
      </c>
      <c r="AD44" s="159">
        <v>31.5</v>
      </c>
      <c r="AE44" s="141">
        <v>22</v>
      </c>
      <c r="AF44" s="141">
        <v>23</v>
      </c>
      <c r="AG44" s="141">
        <v>30</v>
      </c>
      <c r="AH44" s="141">
        <v>30</v>
      </c>
      <c r="AI44" s="141">
        <v>28</v>
      </c>
      <c r="AJ44" s="141">
        <v>32</v>
      </c>
      <c r="AK44" s="141">
        <v>28</v>
      </c>
      <c r="AL44" s="141">
        <v>29</v>
      </c>
      <c r="AM44" s="141">
        <v>23</v>
      </c>
      <c r="AN44" s="141">
        <v>24</v>
      </c>
      <c r="AO44" s="141">
        <v>24</v>
      </c>
      <c r="AP44" s="141">
        <v>22</v>
      </c>
      <c r="AQ44" s="9">
        <f t="shared" si="13"/>
        <v>39.200000000000003</v>
      </c>
      <c r="AR44" s="3">
        <v>24</v>
      </c>
      <c r="AS44" s="3">
        <v>39</v>
      </c>
      <c r="AT44" s="3">
        <v>43</v>
      </c>
      <c r="AU44" s="3">
        <v>44</v>
      </c>
      <c r="AV44" s="3">
        <v>39</v>
      </c>
      <c r="AW44" s="3">
        <v>36</v>
      </c>
      <c r="AX44" s="3">
        <v>37</v>
      </c>
      <c r="AY44" s="3">
        <v>30</v>
      </c>
      <c r="AZ44" s="3">
        <v>30</v>
      </c>
      <c r="BA44" s="3">
        <v>32</v>
      </c>
      <c r="BB44" s="3">
        <v>22</v>
      </c>
      <c r="BC44" s="3">
        <v>16</v>
      </c>
      <c r="BD44" s="117">
        <v>28.1</v>
      </c>
      <c r="BE44" s="3">
        <v>29</v>
      </c>
      <c r="BF44" s="3">
        <v>26</v>
      </c>
      <c r="BG44" s="3">
        <v>25</v>
      </c>
      <c r="BH44" s="3">
        <v>21</v>
      </c>
      <c r="BI44" s="3">
        <v>21</v>
      </c>
      <c r="BJ44" s="3">
        <v>20</v>
      </c>
      <c r="BK44" s="3">
        <v>25</v>
      </c>
      <c r="BL44" s="3">
        <v>23</v>
      </c>
      <c r="BM44" s="3">
        <v>29</v>
      </c>
      <c r="BN44" s="3">
        <v>28</v>
      </c>
      <c r="BO44" s="3">
        <v>21</v>
      </c>
      <c r="BP44" s="20">
        <v>13</v>
      </c>
      <c r="BQ44" s="65">
        <v>30</v>
      </c>
      <c r="BR44" s="3">
        <v>30</v>
      </c>
      <c r="BS44" s="3">
        <v>32</v>
      </c>
      <c r="BT44" s="3">
        <v>28</v>
      </c>
      <c r="BU44" s="3">
        <v>26</v>
      </c>
      <c r="BV44" s="3">
        <v>23</v>
      </c>
      <c r="BW44" s="3">
        <v>22</v>
      </c>
      <c r="BX44" s="3">
        <v>22</v>
      </c>
      <c r="BY44" s="3">
        <v>30</v>
      </c>
      <c r="BZ44" s="3">
        <v>27</v>
      </c>
      <c r="CA44" s="3">
        <v>24</v>
      </c>
      <c r="CB44" s="3">
        <v>21</v>
      </c>
      <c r="CC44" s="3">
        <v>15</v>
      </c>
      <c r="CD44" s="16">
        <v>32.327999999999996</v>
      </c>
      <c r="CE44" s="3">
        <v>24</v>
      </c>
      <c r="CF44" s="3">
        <v>24</v>
      </c>
      <c r="CG44" s="3">
        <v>27</v>
      </c>
      <c r="CH44" s="3">
        <v>31</v>
      </c>
      <c r="CI44" s="3">
        <v>27</v>
      </c>
      <c r="CJ44" s="3">
        <v>31</v>
      </c>
      <c r="CK44" s="3">
        <v>25</v>
      </c>
      <c r="CL44" s="66">
        <v>29.28</v>
      </c>
      <c r="CM44" s="66">
        <v>31</v>
      </c>
      <c r="CN44" s="66">
        <v>31</v>
      </c>
      <c r="CO44" s="3">
        <v>29</v>
      </c>
      <c r="CP44" s="3">
        <v>14</v>
      </c>
      <c r="CQ44" s="9">
        <v>18.3</v>
      </c>
      <c r="CR44" s="3">
        <v>9</v>
      </c>
      <c r="CS44" s="3">
        <v>12</v>
      </c>
      <c r="CT44" s="3">
        <v>14</v>
      </c>
      <c r="CU44" s="3">
        <v>14</v>
      </c>
      <c r="CV44" s="3">
        <v>11</v>
      </c>
      <c r="CW44" s="3">
        <v>13</v>
      </c>
      <c r="CX44" s="3">
        <v>18</v>
      </c>
      <c r="CY44" s="3">
        <v>17</v>
      </c>
      <c r="CZ44" s="3">
        <v>18</v>
      </c>
      <c r="DA44" s="3">
        <v>18</v>
      </c>
      <c r="DB44" s="3">
        <v>20</v>
      </c>
      <c r="DC44" s="3">
        <v>19</v>
      </c>
      <c r="DD44" s="9">
        <v>10.8</v>
      </c>
      <c r="DE44" s="3">
        <v>6</v>
      </c>
      <c r="DF44" s="3">
        <v>8</v>
      </c>
      <c r="DG44" s="3">
        <v>9</v>
      </c>
      <c r="DH44" s="3">
        <v>8</v>
      </c>
      <c r="DI44" s="3">
        <v>5</v>
      </c>
      <c r="DJ44" s="3">
        <v>8</v>
      </c>
      <c r="DK44" s="3">
        <v>7</v>
      </c>
      <c r="DL44" s="3">
        <v>14</v>
      </c>
      <c r="DM44" s="3">
        <v>14</v>
      </c>
      <c r="DN44" s="3">
        <v>10</v>
      </c>
      <c r="DO44" s="3">
        <v>9</v>
      </c>
      <c r="DP44" s="20">
        <v>10</v>
      </c>
      <c r="DQ44" s="9">
        <v>9.4</v>
      </c>
      <c r="DR44" s="3">
        <v>4</v>
      </c>
      <c r="DS44" s="3">
        <v>6</v>
      </c>
      <c r="DT44" s="3">
        <v>5</v>
      </c>
      <c r="DU44" s="3">
        <v>7</v>
      </c>
      <c r="DV44" s="3">
        <v>6</v>
      </c>
      <c r="DW44" s="3">
        <v>5</v>
      </c>
      <c r="DX44" s="3">
        <v>8</v>
      </c>
      <c r="DY44" s="3">
        <v>12</v>
      </c>
      <c r="DZ44" s="3">
        <v>13</v>
      </c>
      <c r="EA44" s="3">
        <v>11</v>
      </c>
      <c r="EB44" s="3">
        <v>9</v>
      </c>
      <c r="EC44" s="3">
        <v>8</v>
      </c>
      <c r="ED44" s="9">
        <f t="shared" ref="ED44:ED86" si="16">+IFERROR((SUM(EE44:EP44)/10),0)</f>
        <v>10.3</v>
      </c>
      <c r="EE44" s="3">
        <v>6</v>
      </c>
      <c r="EF44" s="3">
        <v>5</v>
      </c>
      <c r="EG44" s="3">
        <v>7</v>
      </c>
      <c r="EH44" s="3">
        <v>7</v>
      </c>
      <c r="EI44" s="3">
        <v>9</v>
      </c>
      <c r="EJ44" s="3">
        <v>8</v>
      </c>
      <c r="EK44" s="3">
        <v>11</v>
      </c>
      <c r="EL44" s="3">
        <v>11</v>
      </c>
      <c r="EM44" s="3">
        <v>11</v>
      </c>
      <c r="EN44" s="3">
        <v>11</v>
      </c>
      <c r="EO44" s="3">
        <v>10</v>
      </c>
      <c r="EP44" s="3">
        <v>7</v>
      </c>
      <c r="EQ44" s="9">
        <f t="shared" ref="EQ44:EQ50" si="17">+IFERROR((SUM(ER44:FC44)/10),0)</f>
        <v>14.6</v>
      </c>
      <c r="ER44" s="3">
        <v>10</v>
      </c>
      <c r="ES44" s="3">
        <v>19</v>
      </c>
      <c r="ET44" s="3">
        <v>13</v>
      </c>
      <c r="EU44" s="3">
        <v>15</v>
      </c>
      <c r="EV44" s="3">
        <v>13</v>
      </c>
      <c r="EW44" s="3">
        <v>12</v>
      </c>
      <c r="EX44" s="3">
        <v>13</v>
      </c>
      <c r="EY44" s="3">
        <v>12</v>
      </c>
      <c r="EZ44" s="3">
        <v>12</v>
      </c>
      <c r="FA44" s="3">
        <v>12</v>
      </c>
      <c r="FB44" s="3">
        <v>9</v>
      </c>
      <c r="FC44" s="3">
        <v>6</v>
      </c>
      <c r="FD44" s="69">
        <f t="shared" si="9"/>
        <v>20.3</v>
      </c>
      <c r="FE44" s="3"/>
      <c r="FF44" s="3">
        <v>12</v>
      </c>
      <c r="FG44" s="3">
        <v>21</v>
      </c>
      <c r="FH44" s="3">
        <v>20</v>
      </c>
      <c r="FI44" s="3">
        <v>18</v>
      </c>
      <c r="FJ44" s="3">
        <v>20</v>
      </c>
      <c r="FK44" s="3">
        <v>21</v>
      </c>
      <c r="FL44" s="3">
        <v>18</v>
      </c>
      <c r="FM44" s="3">
        <v>21</v>
      </c>
      <c r="FN44" s="3">
        <v>21</v>
      </c>
      <c r="FO44" s="3">
        <v>19</v>
      </c>
      <c r="FP44" s="3">
        <v>12</v>
      </c>
      <c r="FQ44" s="102"/>
      <c r="FR44" s="102"/>
      <c r="GA44" s="34"/>
    </row>
    <row r="45" spans="1:183" x14ac:dyDescent="0.25">
      <c r="A45" s="5" t="s">
        <v>89</v>
      </c>
      <c r="B45" s="25" t="s">
        <v>85</v>
      </c>
      <c r="C45" s="1" t="s">
        <v>83</v>
      </c>
      <c r="D45" s="141">
        <f t="shared" si="15"/>
        <v>421.09749999999997</v>
      </c>
      <c r="E45" s="141">
        <v>460.15</v>
      </c>
      <c r="F45" s="141">
        <v>417.41</v>
      </c>
      <c r="G45" s="141">
        <v>428.96</v>
      </c>
      <c r="H45" s="141">
        <v>377.87</v>
      </c>
      <c r="P45" s="77"/>
      <c r="Q45" s="159">
        <f t="shared" si="10"/>
        <v>352.76400000000001</v>
      </c>
      <c r="R45" s="141">
        <v>322.01</v>
      </c>
      <c r="S45" s="141">
        <v>294.27999999999997</v>
      </c>
      <c r="T45" s="141">
        <v>305.08</v>
      </c>
      <c r="U45" s="141">
        <v>286.82</v>
      </c>
      <c r="V45" s="141">
        <v>319.98</v>
      </c>
      <c r="W45" s="141">
        <v>345.18</v>
      </c>
      <c r="X45" s="141">
        <v>314.74</v>
      </c>
      <c r="Y45" s="141">
        <v>344.1</v>
      </c>
      <c r="Z45" s="141">
        <v>379.57</v>
      </c>
      <c r="AA45" s="141">
        <v>329.07</v>
      </c>
      <c r="AB45" s="141">
        <v>162.6</v>
      </c>
      <c r="AC45" s="154">
        <v>124.21</v>
      </c>
      <c r="AD45" s="159">
        <v>207.62899999999999</v>
      </c>
      <c r="AE45" s="141">
        <v>166.47</v>
      </c>
      <c r="AF45" s="141">
        <v>173.13</v>
      </c>
      <c r="AG45" s="141">
        <v>164.68</v>
      </c>
      <c r="AH45" s="141">
        <v>141.34</v>
      </c>
      <c r="AI45" s="141">
        <v>167.3</v>
      </c>
      <c r="AJ45" s="141">
        <v>184.24</v>
      </c>
      <c r="AK45" s="141">
        <v>157.63</v>
      </c>
      <c r="AL45" s="141">
        <v>236.16</v>
      </c>
      <c r="AM45" s="141">
        <v>245.55</v>
      </c>
      <c r="AN45" s="141">
        <v>216.91</v>
      </c>
      <c r="AO45" s="141">
        <v>139.65</v>
      </c>
      <c r="AP45" s="141">
        <v>83.23</v>
      </c>
      <c r="AQ45" s="9">
        <f t="shared" si="13"/>
        <v>138.38200000000001</v>
      </c>
      <c r="AR45" s="3">
        <v>132.22</v>
      </c>
      <c r="AS45" s="3">
        <v>129.81</v>
      </c>
      <c r="AT45" s="3">
        <v>121.87</v>
      </c>
      <c r="AU45" s="3">
        <v>85.6</v>
      </c>
      <c r="AV45" s="3">
        <v>124.77</v>
      </c>
      <c r="AW45" s="3">
        <v>145.47</v>
      </c>
      <c r="AX45" s="3">
        <v>118.44</v>
      </c>
      <c r="AY45" s="3">
        <v>143.56</v>
      </c>
      <c r="AZ45" s="3">
        <v>137.49</v>
      </c>
      <c r="BA45" s="3">
        <v>112.16</v>
      </c>
      <c r="BB45" s="3">
        <v>70.69</v>
      </c>
      <c r="BC45" s="3">
        <v>61.74</v>
      </c>
      <c r="BD45" s="117">
        <v>135.56800000000001</v>
      </c>
      <c r="BE45" s="3">
        <v>173.33</v>
      </c>
      <c r="BF45" s="3">
        <v>114.24</v>
      </c>
      <c r="BG45" s="3">
        <v>99.62</v>
      </c>
      <c r="BH45" s="3">
        <v>88.12</v>
      </c>
      <c r="BI45" s="3">
        <v>113.18</v>
      </c>
      <c r="BJ45" s="3">
        <v>139.44</v>
      </c>
      <c r="BK45" s="3">
        <v>105.82</v>
      </c>
      <c r="BL45" s="3">
        <v>154.97</v>
      </c>
      <c r="BM45" s="3">
        <v>141.13999999999999</v>
      </c>
      <c r="BN45" s="3">
        <v>111.68</v>
      </c>
      <c r="BO45" s="3">
        <v>63.82</v>
      </c>
      <c r="BP45" s="20">
        <v>50.32</v>
      </c>
      <c r="BQ45" s="65">
        <v>134.51899999999998</v>
      </c>
      <c r="BR45" s="3">
        <v>186.78</v>
      </c>
      <c r="BS45" s="3">
        <v>129.97</v>
      </c>
      <c r="BT45" s="3">
        <v>101.05</v>
      </c>
      <c r="BU45" s="3">
        <v>98.56</v>
      </c>
      <c r="BV45" s="3">
        <v>125.56</v>
      </c>
      <c r="BW45" s="3">
        <v>133.72</v>
      </c>
      <c r="BX45" s="3">
        <v>110.26</v>
      </c>
      <c r="BY45" s="3">
        <v>129</v>
      </c>
      <c r="BZ45" s="3">
        <v>133.88999999999999</v>
      </c>
      <c r="CA45" s="3">
        <v>93.54</v>
      </c>
      <c r="CB45" s="3">
        <v>62.11</v>
      </c>
      <c r="CC45" s="3">
        <v>40.75</v>
      </c>
      <c r="CD45" s="16">
        <v>277.98399999999998</v>
      </c>
      <c r="CE45" s="3">
        <v>266.02999999999997</v>
      </c>
      <c r="CF45" s="3">
        <v>262.64999999999998</v>
      </c>
      <c r="CG45" s="3">
        <v>251.29</v>
      </c>
      <c r="CH45" s="3">
        <v>251.65</v>
      </c>
      <c r="CI45" s="3">
        <v>263.33999999999997</v>
      </c>
      <c r="CJ45" s="3">
        <v>254.07</v>
      </c>
      <c r="CK45" s="3">
        <v>198.29</v>
      </c>
      <c r="CL45" s="66">
        <v>316.49</v>
      </c>
      <c r="CM45" s="66">
        <v>314.48</v>
      </c>
      <c r="CN45" s="66">
        <v>280.74</v>
      </c>
      <c r="CO45" s="3">
        <v>63.02</v>
      </c>
      <c r="CP45" s="3">
        <v>57.79</v>
      </c>
      <c r="CQ45" s="9">
        <v>218.93900000000002</v>
      </c>
      <c r="CR45" s="3">
        <v>221.16</v>
      </c>
      <c r="CS45" s="3">
        <v>218.06</v>
      </c>
      <c r="CT45" s="3">
        <v>212.23</v>
      </c>
      <c r="CU45" s="3">
        <v>172.77</v>
      </c>
      <c r="CV45" s="3">
        <v>207.03</v>
      </c>
      <c r="CW45" s="3">
        <v>222.2</v>
      </c>
      <c r="CX45" s="3">
        <v>184.87</v>
      </c>
      <c r="CY45" s="3">
        <v>230.29</v>
      </c>
      <c r="CZ45" s="3">
        <v>228.83</v>
      </c>
      <c r="DA45" s="3">
        <v>204.28</v>
      </c>
      <c r="DB45" s="3">
        <v>51.96</v>
      </c>
      <c r="DC45" s="3">
        <v>35.71</v>
      </c>
      <c r="DD45" s="9">
        <v>201.09200000000001</v>
      </c>
      <c r="DE45" s="3">
        <v>183.41</v>
      </c>
      <c r="DF45" s="3">
        <v>199.08</v>
      </c>
      <c r="DG45" s="3">
        <v>204.18</v>
      </c>
      <c r="DH45" s="3">
        <v>157.38999999999999</v>
      </c>
      <c r="DI45" s="3">
        <v>168.16</v>
      </c>
      <c r="DJ45" s="3">
        <v>215.3</v>
      </c>
      <c r="DK45" s="3">
        <v>180.36</v>
      </c>
      <c r="DL45" s="3">
        <v>221.8</v>
      </c>
      <c r="DM45" s="3">
        <v>227.09</v>
      </c>
      <c r="DN45" s="3">
        <v>180.92</v>
      </c>
      <c r="DO45" s="3">
        <v>21.01</v>
      </c>
      <c r="DP45" s="20">
        <v>52.22</v>
      </c>
      <c r="DQ45" s="9">
        <v>197.655</v>
      </c>
      <c r="DR45" s="3">
        <v>232.97</v>
      </c>
      <c r="DS45" s="3">
        <v>207.08</v>
      </c>
      <c r="DT45" s="3">
        <v>202.04</v>
      </c>
      <c r="DU45" s="3">
        <v>175.76</v>
      </c>
      <c r="DV45" s="3">
        <v>167.13</v>
      </c>
      <c r="DW45" s="3">
        <v>229.8</v>
      </c>
      <c r="DX45" s="3">
        <v>188.32</v>
      </c>
      <c r="DY45" s="3">
        <v>191.29</v>
      </c>
      <c r="DZ45" s="3">
        <v>195.1</v>
      </c>
      <c r="EA45" s="3">
        <v>161.63</v>
      </c>
      <c r="EB45" s="3">
        <v>22.42</v>
      </c>
      <c r="EC45" s="3">
        <v>3.01</v>
      </c>
      <c r="ED45" s="9">
        <f t="shared" si="16"/>
        <v>212.96799999999993</v>
      </c>
      <c r="EE45" s="3">
        <v>270.08999999999997</v>
      </c>
      <c r="EF45" s="3">
        <v>240.23</v>
      </c>
      <c r="EG45" s="3">
        <v>241.7</v>
      </c>
      <c r="EH45" s="3">
        <v>99.72</v>
      </c>
      <c r="EI45" s="3">
        <v>218.25</v>
      </c>
      <c r="EJ45" s="3">
        <v>238.03</v>
      </c>
      <c r="EK45" s="3">
        <v>196.77</v>
      </c>
      <c r="EL45" s="3">
        <v>207.37</v>
      </c>
      <c r="EM45" s="3">
        <v>219.54</v>
      </c>
      <c r="EN45" s="3">
        <v>176.83</v>
      </c>
      <c r="EO45" s="3">
        <v>19.239999999999998</v>
      </c>
      <c r="EP45" s="3">
        <v>1.91</v>
      </c>
      <c r="EQ45" s="9">
        <f t="shared" si="17"/>
        <v>260.01899999999995</v>
      </c>
      <c r="ER45" s="3">
        <v>265.39999999999998</v>
      </c>
      <c r="ES45" s="3">
        <v>266.23</v>
      </c>
      <c r="ET45" s="3">
        <v>256.61</v>
      </c>
      <c r="EU45" s="3">
        <v>254.94</v>
      </c>
      <c r="EV45" s="3">
        <v>268.39999999999998</v>
      </c>
      <c r="EW45" s="3">
        <v>267.60000000000002</v>
      </c>
      <c r="EX45" s="3">
        <v>251.31</v>
      </c>
      <c r="EY45" s="3">
        <v>274.10000000000002</v>
      </c>
      <c r="EZ45" s="3">
        <v>241.05</v>
      </c>
      <c r="FA45" s="3">
        <v>212.97</v>
      </c>
      <c r="FB45" s="3">
        <v>27.41</v>
      </c>
      <c r="FC45" s="3">
        <v>14.17</v>
      </c>
      <c r="FD45" s="69">
        <f t="shared" si="9"/>
        <v>176.08599999999998</v>
      </c>
      <c r="FE45" s="3"/>
      <c r="FF45" s="3"/>
      <c r="FG45" s="3">
        <v>222.59</v>
      </c>
      <c r="FH45" s="3">
        <v>197.34</v>
      </c>
      <c r="FI45" s="3">
        <v>229.59</v>
      </c>
      <c r="FJ45" s="3">
        <v>214.54</v>
      </c>
      <c r="FK45" s="3">
        <v>189.04</v>
      </c>
      <c r="FL45" s="3">
        <v>241.56</v>
      </c>
      <c r="FM45" s="3">
        <v>230.7</v>
      </c>
      <c r="FN45" s="3">
        <v>205.20000000000002</v>
      </c>
      <c r="FO45" s="3">
        <v>28.8</v>
      </c>
      <c r="FP45" s="3">
        <v>1.5</v>
      </c>
      <c r="FQ45" s="102"/>
      <c r="FR45" s="102"/>
      <c r="GA45" s="34"/>
    </row>
    <row r="46" spans="1:183" x14ac:dyDescent="0.25">
      <c r="A46" s="6" t="s">
        <v>310</v>
      </c>
      <c r="B46" s="25" t="s">
        <v>312</v>
      </c>
      <c r="C46" s="1" t="s">
        <v>311</v>
      </c>
      <c r="D46" s="141">
        <f t="shared" si="15"/>
        <v>21.33</v>
      </c>
      <c r="E46" s="141">
        <v>8.27</v>
      </c>
      <c r="F46" s="141">
        <v>20.27</v>
      </c>
      <c r="G46" s="141">
        <v>28.31</v>
      </c>
      <c r="H46" s="141">
        <v>28.47</v>
      </c>
      <c r="P46" s="77"/>
      <c r="Q46" s="159">
        <f t="shared" si="10"/>
        <v>11</v>
      </c>
      <c r="R46" s="141">
        <v>0</v>
      </c>
      <c r="S46" s="141">
        <v>10</v>
      </c>
      <c r="T46" s="141">
        <v>9</v>
      </c>
      <c r="U46" s="141">
        <v>11</v>
      </c>
      <c r="V46" s="141">
        <v>12</v>
      </c>
      <c r="W46" s="141">
        <v>14</v>
      </c>
      <c r="X46" s="141">
        <v>12</v>
      </c>
      <c r="Y46" s="141">
        <v>11</v>
      </c>
      <c r="Z46" s="141">
        <v>12</v>
      </c>
      <c r="AA46" s="141">
        <v>8</v>
      </c>
      <c r="AB46" s="141">
        <v>9</v>
      </c>
      <c r="AC46" s="154">
        <v>2</v>
      </c>
      <c r="AD46" s="159">
        <v>16.7</v>
      </c>
      <c r="AE46" s="141">
        <v>3</v>
      </c>
      <c r="AF46" s="141">
        <v>12</v>
      </c>
      <c r="AG46" s="141">
        <v>13</v>
      </c>
      <c r="AH46" s="141">
        <v>14</v>
      </c>
      <c r="AI46" s="141">
        <v>16</v>
      </c>
      <c r="AJ46" s="141">
        <v>16</v>
      </c>
      <c r="AK46" s="141">
        <v>15</v>
      </c>
      <c r="AL46" s="141">
        <v>18</v>
      </c>
      <c r="AM46" s="141">
        <v>16</v>
      </c>
      <c r="AN46" s="141">
        <v>19</v>
      </c>
      <c r="AO46" s="141">
        <v>17</v>
      </c>
      <c r="AP46" s="141">
        <v>8</v>
      </c>
      <c r="AQ46" s="9">
        <f t="shared" si="13"/>
        <v>4</v>
      </c>
      <c r="AR46" s="3">
        <v>2</v>
      </c>
      <c r="AS46" s="3">
        <v>2</v>
      </c>
      <c r="AT46" s="3">
        <v>2</v>
      </c>
      <c r="AU46" s="3">
        <v>2</v>
      </c>
      <c r="AV46" s="3">
        <v>3</v>
      </c>
      <c r="AW46" s="3">
        <v>4</v>
      </c>
      <c r="AX46" s="3">
        <v>4</v>
      </c>
      <c r="AY46" s="3">
        <v>5</v>
      </c>
      <c r="AZ46" s="3">
        <v>7</v>
      </c>
      <c r="BA46" s="3">
        <v>9</v>
      </c>
      <c r="BB46" s="3">
        <v>0</v>
      </c>
      <c r="BC46" s="3">
        <v>0</v>
      </c>
      <c r="BD46" s="117">
        <v>2.7</v>
      </c>
      <c r="BE46" s="3">
        <v>1</v>
      </c>
      <c r="BF46" s="3">
        <v>3</v>
      </c>
      <c r="BG46" s="3">
        <v>3</v>
      </c>
      <c r="BH46" s="3">
        <v>3</v>
      </c>
      <c r="BI46" s="3">
        <v>1</v>
      </c>
      <c r="BJ46" s="3">
        <v>2</v>
      </c>
      <c r="BK46" s="3">
        <v>3</v>
      </c>
      <c r="BL46" s="3">
        <v>4</v>
      </c>
      <c r="BM46" s="3">
        <v>2</v>
      </c>
      <c r="BN46" s="3">
        <v>1</v>
      </c>
      <c r="BO46" s="3">
        <v>3</v>
      </c>
      <c r="BP46" s="20">
        <v>1</v>
      </c>
      <c r="BQ46" s="65">
        <v>3.8</v>
      </c>
      <c r="BR46" s="3">
        <v>2</v>
      </c>
      <c r="BS46" s="3">
        <v>2</v>
      </c>
      <c r="BT46" s="3">
        <v>3</v>
      </c>
      <c r="BU46" s="3">
        <v>4</v>
      </c>
      <c r="BV46" s="3">
        <v>5</v>
      </c>
      <c r="BW46" s="3">
        <v>4</v>
      </c>
      <c r="BX46" s="3">
        <v>3</v>
      </c>
      <c r="BY46" s="3">
        <v>5</v>
      </c>
      <c r="BZ46" s="3">
        <v>4</v>
      </c>
      <c r="CA46" s="3">
        <v>3</v>
      </c>
      <c r="CB46" s="3">
        <v>2</v>
      </c>
      <c r="CC46" s="3">
        <v>1</v>
      </c>
      <c r="CD46" s="16">
        <v>5.8659999999999997</v>
      </c>
      <c r="CE46" s="3">
        <v>0</v>
      </c>
      <c r="CF46" s="3">
        <v>1</v>
      </c>
      <c r="CG46" s="3">
        <v>0</v>
      </c>
      <c r="CH46" s="3">
        <v>5</v>
      </c>
      <c r="CI46" s="3">
        <v>7</v>
      </c>
      <c r="CJ46" s="3">
        <v>7</v>
      </c>
      <c r="CK46" s="3">
        <v>6</v>
      </c>
      <c r="CL46" s="66">
        <v>7</v>
      </c>
      <c r="CM46" s="66">
        <v>9.33</v>
      </c>
      <c r="CN46" s="66">
        <v>9.33</v>
      </c>
      <c r="CO46" s="3">
        <v>5</v>
      </c>
      <c r="CP46" s="3">
        <v>2</v>
      </c>
      <c r="CQ46" s="9">
        <v>1.5</v>
      </c>
      <c r="CR46" s="3"/>
      <c r="CS46" s="3"/>
      <c r="CT46" s="3"/>
      <c r="CV46" s="3">
        <v>0</v>
      </c>
      <c r="CW46" s="3">
        <v>0</v>
      </c>
      <c r="CX46" s="3">
        <v>3</v>
      </c>
      <c r="CY46" s="3">
        <v>3</v>
      </c>
      <c r="CZ46" s="3">
        <v>4</v>
      </c>
      <c r="DA46" s="3">
        <v>4</v>
      </c>
      <c r="DB46" s="3">
        <v>1</v>
      </c>
      <c r="DC46" s="3">
        <v>0</v>
      </c>
      <c r="DD46" s="89"/>
      <c r="DE46" s="87"/>
      <c r="DF46" s="87"/>
      <c r="DG46" s="87"/>
      <c r="DH46" s="87"/>
      <c r="DI46" s="87"/>
      <c r="DJ46" s="87"/>
      <c r="DK46" s="87"/>
      <c r="DL46" s="87"/>
      <c r="DM46" s="87"/>
      <c r="DN46" s="87"/>
      <c r="DO46" s="87"/>
      <c r="DP46" s="90"/>
      <c r="DQ46" s="89"/>
      <c r="DR46" s="87"/>
      <c r="DS46" s="87"/>
      <c r="DT46" s="87"/>
      <c r="DU46" s="87"/>
      <c r="DV46" s="87"/>
      <c r="DW46" s="87"/>
      <c r="DX46" s="87"/>
      <c r="DY46" s="87"/>
      <c r="DZ46" s="87"/>
      <c r="EA46" s="87"/>
      <c r="EB46" s="87"/>
      <c r="EC46" s="87"/>
      <c r="ED46" s="89"/>
      <c r="EE46" s="87"/>
      <c r="EF46" s="87"/>
      <c r="EG46" s="87"/>
      <c r="EH46" s="87"/>
      <c r="EI46" s="87"/>
      <c r="EJ46" s="87"/>
      <c r="EK46" s="87"/>
      <c r="EL46" s="87"/>
      <c r="EM46" s="87"/>
      <c r="EN46" s="87"/>
      <c r="EO46" s="87"/>
      <c r="EP46" s="87"/>
      <c r="EQ46" s="89"/>
      <c r="ER46" s="87"/>
      <c r="ES46" s="87"/>
      <c r="ET46" s="87"/>
      <c r="EU46" s="87"/>
      <c r="EV46" s="87"/>
      <c r="EW46" s="87"/>
      <c r="EX46" s="87"/>
      <c r="EY46" s="87"/>
      <c r="EZ46" s="87"/>
      <c r="FA46" s="87"/>
      <c r="FB46" s="87"/>
      <c r="FC46" s="87"/>
      <c r="FD46" s="89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102"/>
      <c r="FR46" s="102"/>
      <c r="GA46" s="34"/>
    </row>
    <row r="47" spans="1:183" x14ac:dyDescent="0.25">
      <c r="A47" s="6" t="s">
        <v>171</v>
      </c>
      <c r="B47" s="25" t="s">
        <v>170</v>
      </c>
      <c r="C47" s="1" t="s">
        <v>169</v>
      </c>
      <c r="D47" s="141">
        <f t="shared" si="15"/>
        <v>15.049999999999999</v>
      </c>
      <c r="E47" s="141">
        <v>15</v>
      </c>
      <c r="F47" s="141">
        <v>16.399999999999999</v>
      </c>
      <c r="G47" s="141">
        <v>14.4</v>
      </c>
      <c r="H47" s="141">
        <v>14.4</v>
      </c>
      <c r="P47" s="77"/>
      <c r="Q47" s="159">
        <f t="shared" si="10"/>
        <v>40.92</v>
      </c>
      <c r="R47" s="141">
        <v>42</v>
      </c>
      <c r="S47" s="141">
        <v>46</v>
      </c>
      <c r="T47" s="141">
        <v>40.200000000000003</v>
      </c>
      <c r="U47" s="141">
        <v>40</v>
      </c>
      <c r="V47" s="141">
        <v>43</v>
      </c>
      <c r="W47" s="141">
        <v>41</v>
      </c>
      <c r="X47" s="141">
        <v>39</v>
      </c>
      <c r="Y47" s="141">
        <v>40</v>
      </c>
      <c r="Z47" s="141">
        <v>40</v>
      </c>
      <c r="AA47" s="141">
        <v>38</v>
      </c>
      <c r="AB47" s="141">
        <v>0</v>
      </c>
      <c r="AC47" s="154">
        <v>0</v>
      </c>
      <c r="AD47" s="159">
        <v>54.1</v>
      </c>
      <c r="AE47" s="141">
        <v>47</v>
      </c>
      <c r="AF47" s="141">
        <v>51</v>
      </c>
      <c r="AG47" s="141">
        <v>50</v>
      </c>
      <c r="AH47" s="141">
        <v>53</v>
      </c>
      <c r="AI47" s="141">
        <v>54</v>
      </c>
      <c r="AJ47" s="141">
        <v>56</v>
      </c>
      <c r="AK47" s="141">
        <v>57</v>
      </c>
      <c r="AL47" s="141">
        <v>59</v>
      </c>
      <c r="AM47" s="141">
        <v>57</v>
      </c>
      <c r="AN47" s="141">
        <v>57</v>
      </c>
      <c r="AO47" s="141">
        <v>0</v>
      </c>
      <c r="AP47" s="141">
        <v>0</v>
      </c>
      <c r="AQ47" s="9">
        <f t="shared" si="13"/>
        <v>56.2</v>
      </c>
      <c r="AR47" s="3">
        <v>45</v>
      </c>
      <c r="AS47" s="3">
        <v>48</v>
      </c>
      <c r="AT47" s="3">
        <v>50</v>
      </c>
      <c r="AU47" s="3">
        <v>48</v>
      </c>
      <c r="AV47" s="3">
        <v>52</v>
      </c>
      <c r="AW47" s="3">
        <v>63</v>
      </c>
      <c r="AX47" s="3">
        <v>62</v>
      </c>
      <c r="AY47" s="3">
        <v>65</v>
      </c>
      <c r="AZ47" s="3">
        <v>67</v>
      </c>
      <c r="BA47" s="3">
        <v>62</v>
      </c>
      <c r="BB47" s="3">
        <v>0</v>
      </c>
      <c r="BC47" s="3">
        <v>0</v>
      </c>
      <c r="BD47" s="117">
        <v>38.200000000000003</v>
      </c>
      <c r="BE47" s="3">
        <v>37</v>
      </c>
      <c r="BF47" s="3">
        <v>38</v>
      </c>
      <c r="BG47" s="3">
        <v>40</v>
      </c>
      <c r="BH47" s="3">
        <v>38</v>
      </c>
      <c r="BI47" s="3">
        <v>39</v>
      </c>
      <c r="BJ47" s="3">
        <v>39</v>
      </c>
      <c r="BK47" s="3">
        <v>42</v>
      </c>
      <c r="BL47" s="3">
        <v>39</v>
      </c>
      <c r="BM47" s="3">
        <v>34</v>
      </c>
      <c r="BN47" s="3">
        <v>36</v>
      </c>
      <c r="BO47" s="3">
        <v>0</v>
      </c>
      <c r="BP47" s="20">
        <v>0</v>
      </c>
      <c r="BQ47" s="65">
        <v>31.7</v>
      </c>
      <c r="BR47" s="3">
        <v>19</v>
      </c>
      <c r="BS47" s="3">
        <v>28</v>
      </c>
      <c r="BT47" s="3">
        <v>30</v>
      </c>
      <c r="BU47" s="3">
        <v>27</v>
      </c>
      <c r="BV47" s="3">
        <v>29</v>
      </c>
      <c r="BW47" s="3">
        <v>32</v>
      </c>
      <c r="BX47" s="3">
        <v>35</v>
      </c>
      <c r="BY47" s="3">
        <v>41</v>
      </c>
      <c r="BZ47" s="3">
        <v>38</v>
      </c>
      <c r="CA47" s="3">
        <v>38</v>
      </c>
      <c r="CB47" s="3">
        <v>0</v>
      </c>
      <c r="CC47" s="3">
        <v>0</v>
      </c>
      <c r="CD47" s="16">
        <v>29.841000000000001</v>
      </c>
      <c r="CE47" s="3">
        <v>22.2</v>
      </c>
      <c r="CF47" s="3">
        <v>30.8</v>
      </c>
      <c r="CG47" s="3">
        <v>30.8</v>
      </c>
      <c r="CH47" s="3">
        <v>30.8</v>
      </c>
      <c r="CI47" s="3">
        <v>29.8</v>
      </c>
      <c r="CJ47" s="3">
        <v>31</v>
      </c>
      <c r="CK47" s="3">
        <v>30</v>
      </c>
      <c r="CL47" s="66">
        <v>32.35</v>
      </c>
      <c r="CM47" s="66">
        <v>32.35</v>
      </c>
      <c r="CN47" s="66">
        <v>28.31</v>
      </c>
      <c r="CO47" s="3">
        <v>0</v>
      </c>
      <c r="CP47" s="3">
        <v>0</v>
      </c>
      <c r="CQ47" s="9">
        <v>23.2</v>
      </c>
      <c r="CR47" s="3">
        <v>23</v>
      </c>
      <c r="CS47" s="3">
        <v>24</v>
      </c>
      <c r="CT47" s="3">
        <v>24</v>
      </c>
      <c r="CU47" s="3">
        <v>24</v>
      </c>
      <c r="CV47" s="3">
        <v>23</v>
      </c>
      <c r="CW47" s="3">
        <v>22</v>
      </c>
      <c r="CX47" s="3">
        <v>23</v>
      </c>
      <c r="CY47" s="3">
        <v>24</v>
      </c>
      <c r="CZ47" s="3">
        <v>24</v>
      </c>
      <c r="DA47" s="3">
        <v>21</v>
      </c>
      <c r="DB47" s="3">
        <v>0</v>
      </c>
      <c r="DC47" s="3">
        <v>0</v>
      </c>
      <c r="DD47" s="9">
        <v>29.599</v>
      </c>
      <c r="DE47" s="3">
        <v>25.6</v>
      </c>
      <c r="DF47" s="3">
        <v>28.6</v>
      </c>
      <c r="DG47" s="3">
        <v>27.2</v>
      </c>
      <c r="DH47" s="3">
        <v>33</v>
      </c>
      <c r="DI47" s="3">
        <v>29</v>
      </c>
      <c r="DJ47" s="3">
        <v>25</v>
      </c>
      <c r="DK47" s="3">
        <v>29.99</v>
      </c>
      <c r="DL47" s="3">
        <v>32.6</v>
      </c>
      <c r="DM47" s="3">
        <v>33</v>
      </c>
      <c r="DN47" s="3">
        <v>32</v>
      </c>
      <c r="DO47" s="3">
        <v>0</v>
      </c>
      <c r="DP47" s="20">
        <v>0</v>
      </c>
      <c r="DQ47" s="9">
        <v>20.079999999999998</v>
      </c>
      <c r="DR47" s="3">
        <v>13</v>
      </c>
      <c r="DS47" s="3">
        <v>12</v>
      </c>
      <c r="DT47" s="3">
        <v>13</v>
      </c>
      <c r="DU47" s="3">
        <v>17.399999999999999</v>
      </c>
      <c r="DV47" s="3">
        <v>16.399999999999999</v>
      </c>
      <c r="DW47" s="3">
        <v>25.6</v>
      </c>
      <c r="DX47" s="3">
        <v>30.6</v>
      </c>
      <c r="DY47" s="3">
        <v>24.6</v>
      </c>
      <c r="DZ47" s="3">
        <v>22.6</v>
      </c>
      <c r="EA47" s="3">
        <v>21.6</v>
      </c>
      <c r="EB47" s="3">
        <v>3</v>
      </c>
      <c r="EC47" s="3">
        <v>1</v>
      </c>
      <c r="ED47" s="9">
        <f t="shared" si="16"/>
        <v>9.4</v>
      </c>
      <c r="EE47" s="3">
        <v>10</v>
      </c>
      <c r="EF47" s="3">
        <v>9</v>
      </c>
      <c r="EG47" s="3">
        <v>9</v>
      </c>
      <c r="EH47" s="3">
        <v>6</v>
      </c>
      <c r="EI47" s="3">
        <v>9</v>
      </c>
      <c r="EJ47" s="3">
        <v>14</v>
      </c>
      <c r="EK47" s="3">
        <v>9</v>
      </c>
      <c r="EL47" s="3">
        <v>9</v>
      </c>
      <c r="EM47" s="3">
        <v>8</v>
      </c>
      <c r="EN47" s="3">
        <v>5</v>
      </c>
      <c r="EO47" s="3">
        <v>3</v>
      </c>
      <c r="EP47" s="3">
        <v>3</v>
      </c>
      <c r="EQ47" s="9">
        <f t="shared" si="17"/>
        <v>5.4</v>
      </c>
      <c r="ER47" s="3"/>
      <c r="ES47" s="3"/>
      <c r="ET47" s="3"/>
      <c r="EU47" s="3"/>
      <c r="EV47" s="3">
        <v>5</v>
      </c>
      <c r="EW47" s="3">
        <v>5</v>
      </c>
      <c r="EX47" s="3">
        <v>6</v>
      </c>
      <c r="EY47" s="3">
        <v>3</v>
      </c>
      <c r="EZ47" s="3">
        <v>7</v>
      </c>
      <c r="FA47" s="3">
        <v>11</v>
      </c>
      <c r="FB47" s="3">
        <v>6</v>
      </c>
      <c r="FC47" s="3">
        <v>11</v>
      </c>
      <c r="FD47" s="89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102"/>
      <c r="FR47" s="102"/>
      <c r="GA47" s="34"/>
    </row>
    <row r="48" spans="1:183" x14ac:dyDescent="0.25">
      <c r="A48" s="5" t="s">
        <v>89</v>
      </c>
      <c r="B48" s="25" t="s">
        <v>94</v>
      </c>
      <c r="C48" s="2" t="s">
        <v>93</v>
      </c>
      <c r="D48" s="141">
        <f t="shared" si="15"/>
        <v>15.5</v>
      </c>
      <c r="E48" s="141">
        <v>14</v>
      </c>
      <c r="F48" s="141">
        <v>14</v>
      </c>
      <c r="G48" s="141">
        <v>17</v>
      </c>
      <c r="H48" s="141">
        <v>17</v>
      </c>
      <c r="I48" s="2"/>
      <c r="J48" s="2"/>
      <c r="K48" s="2"/>
      <c r="L48" s="2"/>
      <c r="M48" s="2"/>
      <c r="N48" s="2"/>
      <c r="O48" s="2"/>
      <c r="P48" s="180"/>
      <c r="Q48" s="159">
        <f t="shared" si="10"/>
        <v>21.8</v>
      </c>
      <c r="R48" s="141">
        <v>17</v>
      </c>
      <c r="S48" s="141">
        <v>16</v>
      </c>
      <c r="T48" s="141">
        <v>20</v>
      </c>
      <c r="U48" s="141">
        <v>23</v>
      </c>
      <c r="V48" s="141">
        <v>19</v>
      </c>
      <c r="W48" s="141">
        <v>22</v>
      </c>
      <c r="X48" s="141">
        <v>23</v>
      </c>
      <c r="Y48" s="141">
        <v>22</v>
      </c>
      <c r="Z48" s="141">
        <v>20</v>
      </c>
      <c r="AA48" s="141">
        <v>18</v>
      </c>
      <c r="AB48" s="141">
        <v>10</v>
      </c>
      <c r="AC48" s="154">
        <v>8</v>
      </c>
      <c r="AD48" s="159">
        <v>26.5</v>
      </c>
      <c r="AE48" s="141">
        <v>26</v>
      </c>
      <c r="AF48" s="141">
        <v>26</v>
      </c>
      <c r="AG48" s="141">
        <v>27</v>
      </c>
      <c r="AH48" s="141">
        <v>25</v>
      </c>
      <c r="AI48" s="141">
        <v>21</v>
      </c>
      <c r="AJ48" s="141">
        <v>22</v>
      </c>
      <c r="AK48" s="141">
        <v>20</v>
      </c>
      <c r="AL48" s="141">
        <v>21</v>
      </c>
      <c r="AM48" s="141">
        <v>22</v>
      </c>
      <c r="AN48" s="141">
        <v>23</v>
      </c>
      <c r="AO48" s="141">
        <v>23</v>
      </c>
      <c r="AP48" s="141">
        <v>9</v>
      </c>
      <c r="AQ48" s="9">
        <f t="shared" si="13"/>
        <v>25.4</v>
      </c>
      <c r="AR48" s="3">
        <v>15</v>
      </c>
      <c r="AS48" s="3">
        <v>16</v>
      </c>
      <c r="AT48" s="3">
        <v>18</v>
      </c>
      <c r="AU48" s="3">
        <v>17</v>
      </c>
      <c r="AV48" s="3">
        <v>18</v>
      </c>
      <c r="AW48" s="3">
        <v>18</v>
      </c>
      <c r="AX48" s="3">
        <v>23</v>
      </c>
      <c r="AY48" s="3">
        <v>26</v>
      </c>
      <c r="AZ48" s="3">
        <v>29</v>
      </c>
      <c r="BA48" s="3">
        <v>27</v>
      </c>
      <c r="BB48" s="3">
        <v>26</v>
      </c>
      <c r="BC48" s="3">
        <v>21</v>
      </c>
      <c r="BD48" s="117">
        <v>12</v>
      </c>
      <c r="BE48" s="3">
        <v>7</v>
      </c>
      <c r="BF48" s="3">
        <v>9</v>
      </c>
      <c r="BG48" s="3">
        <v>9</v>
      </c>
      <c r="BH48" s="3">
        <v>9</v>
      </c>
      <c r="BI48" s="3">
        <v>7</v>
      </c>
      <c r="BJ48" s="3">
        <v>3</v>
      </c>
      <c r="BK48" s="3">
        <v>8</v>
      </c>
      <c r="BL48" s="3">
        <v>12</v>
      </c>
      <c r="BM48" s="3">
        <v>13</v>
      </c>
      <c r="BN48" s="3">
        <v>14</v>
      </c>
      <c r="BO48" s="3">
        <v>16</v>
      </c>
      <c r="BP48" s="20">
        <v>13</v>
      </c>
      <c r="BQ48" s="65">
        <v>14.5</v>
      </c>
      <c r="BR48" s="3">
        <v>13</v>
      </c>
      <c r="BS48" s="3">
        <v>15</v>
      </c>
      <c r="BT48" s="3">
        <v>12</v>
      </c>
      <c r="BU48" s="3">
        <v>16</v>
      </c>
      <c r="BV48" s="3">
        <v>16</v>
      </c>
      <c r="BW48" s="3">
        <v>14</v>
      </c>
      <c r="BX48" s="3">
        <v>13</v>
      </c>
      <c r="BY48" s="3">
        <v>13</v>
      </c>
      <c r="BZ48" s="3">
        <v>9</v>
      </c>
      <c r="CA48" s="3">
        <v>10</v>
      </c>
      <c r="CB48" s="3">
        <v>7</v>
      </c>
      <c r="CC48" s="3">
        <v>7</v>
      </c>
      <c r="CD48" s="16">
        <v>19.378999999999998</v>
      </c>
      <c r="CE48" s="3">
        <v>14</v>
      </c>
      <c r="CF48" s="3">
        <v>11</v>
      </c>
      <c r="CG48" s="3">
        <v>12</v>
      </c>
      <c r="CH48" s="3">
        <v>11</v>
      </c>
      <c r="CI48" s="3">
        <v>12</v>
      </c>
      <c r="CJ48" s="3">
        <v>17</v>
      </c>
      <c r="CK48" s="3">
        <v>17</v>
      </c>
      <c r="CL48" s="66">
        <v>21.86</v>
      </c>
      <c r="CM48" s="66">
        <v>21.86</v>
      </c>
      <c r="CN48" s="66">
        <v>23.07</v>
      </c>
      <c r="CO48" s="3">
        <v>17</v>
      </c>
      <c r="CP48" s="3">
        <v>16</v>
      </c>
      <c r="CQ48" s="9">
        <v>19.399999999999999</v>
      </c>
      <c r="CR48" s="3">
        <v>22</v>
      </c>
      <c r="CS48" s="3">
        <v>22</v>
      </c>
      <c r="CT48" s="3">
        <v>18</v>
      </c>
      <c r="CU48" s="3">
        <v>16</v>
      </c>
      <c r="CV48" s="3">
        <v>16</v>
      </c>
      <c r="CW48" s="3">
        <v>15</v>
      </c>
      <c r="CX48" s="3">
        <v>14</v>
      </c>
      <c r="CY48" s="3">
        <v>18</v>
      </c>
      <c r="CZ48" s="3">
        <v>18</v>
      </c>
      <c r="DA48" s="3">
        <v>19</v>
      </c>
      <c r="DB48" s="3">
        <v>8</v>
      </c>
      <c r="DC48" s="3">
        <v>8</v>
      </c>
      <c r="DD48" s="9">
        <v>29.5</v>
      </c>
      <c r="DE48" s="3">
        <v>25</v>
      </c>
      <c r="DF48" s="3">
        <v>25</v>
      </c>
      <c r="DG48" s="3">
        <v>30</v>
      </c>
      <c r="DH48" s="3">
        <v>31</v>
      </c>
      <c r="DI48" s="3">
        <v>27</v>
      </c>
      <c r="DJ48" s="3">
        <v>31</v>
      </c>
      <c r="DK48" s="3">
        <v>31</v>
      </c>
      <c r="DL48" s="3">
        <v>32</v>
      </c>
      <c r="DM48" s="3">
        <v>34</v>
      </c>
      <c r="DN48" s="3">
        <v>29</v>
      </c>
      <c r="DO48" s="3">
        <v>0</v>
      </c>
      <c r="DP48" s="20">
        <v>0</v>
      </c>
      <c r="DQ48" s="9">
        <v>22.6</v>
      </c>
      <c r="DR48" s="3">
        <v>9</v>
      </c>
      <c r="DS48" s="3">
        <v>13</v>
      </c>
      <c r="DT48" s="3">
        <v>17</v>
      </c>
      <c r="DU48" s="3">
        <v>20</v>
      </c>
      <c r="DV48" s="3">
        <v>20</v>
      </c>
      <c r="DW48" s="3">
        <v>17</v>
      </c>
      <c r="DX48" s="3">
        <v>19</v>
      </c>
      <c r="DY48" s="3">
        <v>25</v>
      </c>
      <c r="DZ48" s="3">
        <v>29</v>
      </c>
      <c r="EA48" s="3">
        <v>30</v>
      </c>
      <c r="EB48" s="3">
        <v>18</v>
      </c>
      <c r="EC48" s="3">
        <v>9</v>
      </c>
      <c r="ED48" s="9">
        <f t="shared" si="16"/>
        <v>9.1999999999999993</v>
      </c>
      <c r="EE48" s="3">
        <v>7</v>
      </c>
      <c r="EF48" s="3">
        <v>8</v>
      </c>
      <c r="EG48" s="3">
        <v>8</v>
      </c>
      <c r="EH48" s="3">
        <v>8</v>
      </c>
      <c r="EI48" s="3">
        <v>11</v>
      </c>
      <c r="EJ48" s="3">
        <v>10</v>
      </c>
      <c r="EK48" s="3">
        <v>8</v>
      </c>
      <c r="EL48" s="3">
        <v>8</v>
      </c>
      <c r="EM48" s="3">
        <v>9</v>
      </c>
      <c r="EN48" s="3">
        <v>10</v>
      </c>
      <c r="EO48" s="3">
        <v>5</v>
      </c>
      <c r="EP48" s="3">
        <v>0</v>
      </c>
      <c r="EQ48" s="9">
        <f t="shared" si="17"/>
        <v>9.5</v>
      </c>
      <c r="ER48" s="3">
        <v>12</v>
      </c>
      <c r="ES48" s="3">
        <v>10</v>
      </c>
      <c r="ET48" s="3">
        <v>8</v>
      </c>
      <c r="EU48" s="3">
        <v>7</v>
      </c>
      <c r="EV48" s="3">
        <v>7</v>
      </c>
      <c r="EW48" s="3">
        <v>7</v>
      </c>
      <c r="EX48" s="3">
        <v>8</v>
      </c>
      <c r="EY48" s="3">
        <v>9</v>
      </c>
      <c r="EZ48" s="3">
        <v>9</v>
      </c>
      <c r="FA48" s="3">
        <v>10</v>
      </c>
      <c r="FB48" s="3">
        <v>6</v>
      </c>
      <c r="FC48" s="3">
        <v>2</v>
      </c>
      <c r="FD48" s="69">
        <f t="shared" si="9"/>
        <v>16.7</v>
      </c>
      <c r="FE48" s="3"/>
      <c r="FF48" s="3"/>
      <c r="FG48" s="3">
        <v>16</v>
      </c>
      <c r="FH48" s="3">
        <v>18</v>
      </c>
      <c r="FI48" s="3">
        <v>18</v>
      </c>
      <c r="FJ48" s="3">
        <v>16</v>
      </c>
      <c r="FK48" s="3">
        <v>16</v>
      </c>
      <c r="FL48" s="3">
        <v>18</v>
      </c>
      <c r="FM48" s="3">
        <v>23</v>
      </c>
      <c r="FN48" s="3">
        <v>22</v>
      </c>
      <c r="FO48" s="3">
        <v>12</v>
      </c>
      <c r="FP48" s="3">
        <v>8</v>
      </c>
      <c r="FQ48" s="102"/>
      <c r="FR48" s="102"/>
      <c r="GA48" s="34"/>
    </row>
    <row r="49" spans="1:183" x14ac:dyDescent="0.25">
      <c r="A49" s="6" t="s">
        <v>261</v>
      </c>
      <c r="B49" s="25" t="s">
        <v>264</v>
      </c>
      <c r="C49" s="2" t="s">
        <v>263</v>
      </c>
      <c r="D49" s="141">
        <f t="shared" si="15"/>
        <v>36</v>
      </c>
      <c r="E49" s="141">
        <v>33</v>
      </c>
      <c r="F49" s="141">
        <v>40</v>
      </c>
      <c r="G49" s="141">
        <v>34</v>
      </c>
      <c r="H49" s="141">
        <v>37</v>
      </c>
      <c r="I49" s="2"/>
      <c r="J49" s="2"/>
      <c r="K49" s="2"/>
      <c r="L49" s="2"/>
      <c r="M49" s="2"/>
      <c r="N49" s="2"/>
      <c r="O49" s="2"/>
      <c r="P49" s="180"/>
      <c r="Q49" s="159">
        <f t="shared" si="10"/>
        <v>32.799999999999997</v>
      </c>
      <c r="R49" s="141">
        <v>0</v>
      </c>
      <c r="S49" s="141">
        <v>36</v>
      </c>
      <c r="T49" s="141">
        <v>35</v>
      </c>
      <c r="U49" s="141">
        <v>39</v>
      </c>
      <c r="V49" s="141">
        <v>38</v>
      </c>
      <c r="W49" s="141">
        <v>34</v>
      </c>
      <c r="X49" s="141">
        <v>32</v>
      </c>
      <c r="Y49" s="141">
        <v>32</v>
      </c>
      <c r="Z49" s="141">
        <v>33</v>
      </c>
      <c r="AA49" s="141">
        <v>34</v>
      </c>
      <c r="AB49" s="141">
        <v>8</v>
      </c>
      <c r="AC49" s="154">
        <v>7</v>
      </c>
      <c r="AD49" s="159">
        <v>32.799999999999997</v>
      </c>
      <c r="AE49" s="141">
        <v>36</v>
      </c>
      <c r="AF49" s="141">
        <v>37</v>
      </c>
      <c r="AG49" s="141">
        <v>35</v>
      </c>
      <c r="AH49" s="141">
        <v>33</v>
      </c>
      <c r="AI49" s="141">
        <v>33</v>
      </c>
      <c r="AJ49" s="141">
        <v>32</v>
      </c>
      <c r="AK49" s="141">
        <v>30</v>
      </c>
      <c r="AL49" s="141">
        <v>30</v>
      </c>
      <c r="AM49" s="141">
        <v>30</v>
      </c>
      <c r="AN49" s="141">
        <v>30</v>
      </c>
      <c r="AO49" s="141">
        <v>1</v>
      </c>
      <c r="AP49" s="141">
        <v>1</v>
      </c>
      <c r="AQ49" s="9">
        <f t="shared" si="13"/>
        <v>29.5</v>
      </c>
      <c r="AR49" s="3">
        <v>16</v>
      </c>
      <c r="AS49" s="3">
        <v>26</v>
      </c>
      <c r="AT49" s="3">
        <v>29</v>
      </c>
      <c r="AU49" s="3">
        <v>25</v>
      </c>
      <c r="AV49" s="3">
        <v>31</v>
      </c>
      <c r="AW49" s="3">
        <v>31</v>
      </c>
      <c r="AX49" s="3">
        <v>33</v>
      </c>
      <c r="AY49" s="3">
        <v>33</v>
      </c>
      <c r="AZ49" s="3">
        <v>36</v>
      </c>
      <c r="BA49" s="3">
        <v>35</v>
      </c>
      <c r="BB49" s="3">
        <v>0</v>
      </c>
      <c r="BC49" s="3">
        <v>0</v>
      </c>
      <c r="BD49" s="117">
        <v>13.6</v>
      </c>
      <c r="BE49" s="3">
        <v>0</v>
      </c>
      <c r="BF49" s="3">
        <v>22</v>
      </c>
      <c r="BG49" s="3">
        <v>15</v>
      </c>
      <c r="BH49" s="3">
        <v>15</v>
      </c>
      <c r="BI49" s="3">
        <v>10</v>
      </c>
      <c r="BJ49" s="3">
        <v>9</v>
      </c>
      <c r="BK49" s="3">
        <v>12</v>
      </c>
      <c r="BL49" s="3">
        <v>16</v>
      </c>
      <c r="BM49" s="3">
        <v>19</v>
      </c>
      <c r="BN49" s="3">
        <v>18</v>
      </c>
      <c r="BO49" s="3">
        <v>0</v>
      </c>
      <c r="BP49" s="20">
        <v>0</v>
      </c>
      <c r="BQ49" s="65">
        <v>15.1</v>
      </c>
      <c r="BR49" s="3">
        <v>16</v>
      </c>
      <c r="BS49" s="3">
        <v>8</v>
      </c>
      <c r="BT49" s="3">
        <v>13</v>
      </c>
      <c r="BU49" s="3">
        <v>13</v>
      </c>
      <c r="BV49" s="3">
        <v>11</v>
      </c>
      <c r="BW49" s="3">
        <v>20</v>
      </c>
      <c r="BX49" s="3">
        <v>21</v>
      </c>
      <c r="BY49" s="3">
        <v>18</v>
      </c>
      <c r="BZ49" s="3">
        <v>13</v>
      </c>
      <c r="CA49" s="3">
        <v>18</v>
      </c>
      <c r="CB49" s="3">
        <v>0</v>
      </c>
      <c r="CC49" s="3">
        <v>0</v>
      </c>
      <c r="CD49" s="16">
        <v>18.806000000000001</v>
      </c>
      <c r="CE49" s="3">
        <v>0</v>
      </c>
      <c r="CF49" s="3">
        <v>11</v>
      </c>
      <c r="CG49" s="3">
        <v>14</v>
      </c>
      <c r="CH49" s="3">
        <v>20</v>
      </c>
      <c r="CI49" s="3">
        <v>23</v>
      </c>
      <c r="CJ49" s="3">
        <v>22</v>
      </c>
      <c r="CK49" s="3">
        <v>27</v>
      </c>
      <c r="CL49" s="66">
        <v>25.38</v>
      </c>
      <c r="CM49" s="66">
        <v>27.07</v>
      </c>
      <c r="CN49" s="66">
        <v>18.61</v>
      </c>
      <c r="CO49" s="3">
        <v>0</v>
      </c>
      <c r="CP49" s="3">
        <v>0</v>
      </c>
      <c r="CQ49" s="9">
        <v>10.7</v>
      </c>
      <c r="CR49" s="3">
        <v>0</v>
      </c>
      <c r="CS49" s="3">
        <v>3</v>
      </c>
      <c r="CT49" s="3">
        <v>6</v>
      </c>
      <c r="CU49" s="3">
        <v>6</v>
      </c>
      <c r="CV49" s="3">
        <v>3</v>
      </c>
      <c r="CW49" s="3">
        <v>11</v>
      </c>
      <c r="CX49" s="3">
        <v>13</v>
      </c>
      <c r="CY49" s="3">
        <v>15</v>
      </c>
      <c r="CZ49" s="3">
        <v>16</v>
      </c>
      <c r="DA49" s="3">
        <v>11</v>
      </c>
      <c r="DB49" s="3">
        <v>14</v>
      </c>
      <c r="DC49" s="3">
        <v>9</v>
      </c>
      <c r="DD49" s="9">
        <v>1.9</v>
      </c>
      <c r="DE49" s="3">
        <v>0</v>
      </c>
      <c r="DF49" s="3">
        <v>0</v>
      </c>
      <c r="DG49" s="3">
        <v>0</v>
      </c>
      <c r="DH49" s="3">
        <v>0</v>
      </c>
      <c r="DI49" s="3">
        <v>2</v>
      </c>
      <c r="DJ49" s="3">
        <v>3</v>
      </c>
      <c r="DK49" s="3">
        <v>5</v>
      </c>
      <c r="DL49" s="3">
        <v>4</v>
      </c>
      <c r="DM49" s="3">
        <v>4</v>
      </c>
      <c r="DN49" s="3">
        <v>1</v>
      </c>
      <c r="DO49" s="3">
        <v>0</v>
      </c>
      <c r="DP49" s="20">
        <v>0</v>
      </c>
      <c r="DQ49" s="9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89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9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9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102"/>
      <c r="FR49" s="102"/>
      <c r="GA49" s="34"/>
    </row>
    <row r="50" spans="1:183" x14ac:dyDescent="0.25">
      <c r="A50" s="6" t="s">
        <v>88</v>
      </c>
      <c r="B50" s="25" t="s">
        <v>75</v>
      </c>
      <c r="C50" s="1" t="s">
        <v>63</v>
      </c>
      <c r="D50" s="141">
        <f t="shared" si="15"/>
        <v>254.15250000000003</v>
      </c>
      <c r="E50" s="141">
        <v>172</v>
      </c>
      <c r="F50" s="141">
        <v>252.07</v>
      </c>
      <c r="G50" s="141">
        <v>296.60000000000002</v>
      </c>
      <c r="H50" s="141">
        <v>295.94</v>
      </c>
      <c r="P50" s="77"/>
      <c r="Q50" s="159">
        <f t="shared" si="10"/>
        <v>209.47200000000004</v>
      </c>
      <c r="R50" s="141">
        <v>112</v>
      </c>
      <c r="S50" s="141">
        <v>170.15</v>
      </c>
      <c r="T50" s="141">
        <v>173.62</v>
      </c>
      <c r="U50" s="141">
        <v>195.7</v>
      </c>
      <c r="V50" s="141">
        <v>199.72</v>
      </c>
      <c r="W50" s="141">
        <v>201.19</v>
      </c>
      <c r="X50" s="141">
        <v>207.19</v>
      </c>
      <c r="Y50" s="141">
        <v>213.52</v>
      </c>
      <c r="Z50" s="141">
        <v>222.22</v>
      </c>
      <c r="AA50" s="141">
        <v>220.01000000000002</v>
      </c>
      <c r="AB50" s="141">
        <v>90.75</v>
      </c>
      <c r="AC50" s="154">
        <v>88.649999999999991</v>
      </c>
      <c r="AD50" s="159">
        <v>183.75900000000001</v>
      </c>
      <c r="AE50" s="141">
        <v>105</v>
      </c>
      <c r="AF50" s="141">
        <v>148.32</v>
      </c>
      <c r="AG50" s="141">
        <v>157.98999999999998</v>
      </c>
      <c r="AH50" s="141">
        <v>173.11</v>
      </c>
      <c r="AI50" s="141">
        <v>174.72</v>
      </c>
      <c r="AJ50" s="141">
        <v>182.73000000000002</v>
      </c>
      <c r="AK50" s="141">
        <v>178.39999999999998</v>
      </c>
      <c r="AL50" s="141">
        <v>199.34</v>
      </c>
      <c r="AM50" s="141">
        <v>192.97</v>
      </c>
      <c r="AN50" s="141">
        <v>182.97</v>
      </c>
      <c r="AO50" s="141">
        <v>86.37</v>
      </c>
      <c r="AP50" s="141">
        <v>55.67</v>
      </c>
      <c r="AQ50" s="9">
        <f t="shared" si="13"/>
        <v>157.60400000000004</v>
      </c>
      <c r="AR50" s="3">
        <v>85</v>
      </c>
      <c r="AS50" s="3">
        <v>106</v>
      </c>
      <c r="AT50" s="3">
        <v>128</v>
      </c>
      <c r="AU50" s="3">
        <v>150</v>
      </c>
      <c r="AV50" s="3">
        <v>152</v>
      </c>
      <c r="AW50" s="3">
        <v>146</v>
      </c>
      <c r="AX50" s="3">
        <v>143</v>
      </c>
      <c r="AY50" s="3">
        <v>174.66</v>
      </c>
      <c r="AZ50" s="3">
        <v>170.66</v>
      </c>
      <c r="BA50" s="3">
        <v>170.66</v>
      </c>
      <c r="BB50" s="3">
        <v>90.91</v>
      </c>
      <c r="BC50" s="3">
        <v>59.15</v>
      </c>
      <c r="BD50" s="117">
        <v>133.274</v>
      </c>
      <c r="BE50" s="3">
        <v>105</v>
      </c>
      <c r="BF50" s="3">
        <v>105</v>
      </c>
      <c r="BG50" s="3">
        <v>116</v>
      </c>
      <c r="BH50" s="3">
        <v>121</v>
      </c>
      <c r="BI50" s="3">
        <v>125</v>
      </c>
      <c r="BJ50" s="3">
        <v>129</v>
      </c>
      <c r="BK50" s="3">
        <v>136</v>
      </c>
      <c r="BL50" s="3">
        <v>140</v>
      </c>
      <c r="BM50" s="3">
        <v>126</v>
      </c>
      <c r="BN50" s="3">
        <v>132</v>
      </c>
      <c r="BO50" s="3">
        <v>66.239999999999995</v>
      </c>
      <c r="BP50" s="20">
        <v>31.5</v>
      </c>
      <c r="BQ50" s="65">
        <v>149.74700000000001</v>
      </c>
      <c r="BR50" s="3">
        <v>126</v>
      </c>
      <c r="BS50" s="3">
        <v>121</v>
      </c>
      <c r="BT50" s="3">
        <v>124</v>
      </c>
      <c r="BU50" s="3">
        <v>138</v>
      </c>
      <c r="BV50" s="3">
        <v>148</v>
      </c>
      <c r="BW50" s="3">
        <v>145</v>
      </c>
      <c r="BX50" s="3">
        <v>147</v>
      </c>
      <c r="BY50" s="3">
        <v>154</v>
      </c>
      <c r="BZ50" s="3">
        <v>147</v>
      </c>
      <c r="CA50" s="3">
        <v>153</v>
      </c>
      <c r="CB50" s="3">
        <v>57</v>
      </c>
      <c r="CC50" s="3">
        <v>37.47</v>
      </c>
      <c r="CD50" s="16">
        <v>131.78299999999999</v>
      </c>
      <c r="CE50" s="3">
        <v>86</v>
      </c>
      <c r="CF50" s="3">
        <v>104</v>
      </c>
      <c r="CG50" s="3">
        <v>117</v>
      </c>
      <c r="CH50" s="3">
        <v>127</v>
      </c>
      <c r="CI50" s="3">
        <v>124</v>
      </c>
      <c r="CJ50" s="3">
        <v>124</v>
      </c>
      <c r="CK50" s="3">
        <v>146</v>
      </c>
      <c r="CL50" s="66">
        <v>124</v>
      </c>
      <c r="CM50" s="66">
        <v>139.5</v>
      </c>
      <c r="CN50" s="66">
        <v>131.15</v>
      </c>
      <c r="CO50" s="3">
        <v>66.58</v>
      </c>
      <c r="CP50" s="3">
        <v>28.6</v>
      </c>
      <c r="CQ50" s="9">
        <v>96.551999999999992</v>
      </c>
      <c r="CR50" s="3">
        <v>55</v>
      </c>
      <c r="CS50" s="3">
        <v>61</v>
      </c>
      <c r="CT50" s="3">
        <v>75</v>
      </c>
      <c r="CU50" s="3">
        <v>81</v>
      </c>
      <c r="CV50" s="3">
        <v>84</v>
      </c>
      <c r="CW50" s="3">
        <v>93</v>
      </c>
      <c r="CX50" s="3">
        <v>104</v>
      </c>
      <c r="CY50" s="3">
        <v>104</v>
      </c>
      <c r="CZ50" s="3">
        <v>117</v>
      </c>
      <c r="DA50" s="3">
        <v>110</v>
      </c>
      <c r="DB50" s="3">
        <v>56.52</v>
      </c>
      <c r="DC50" s="3">
        <v>25</v>
      </c>
      <c r="DD50" s="9">
        <v>63.14</v>
      </c>
      <c r="DE50" s="3">
        <v>49</v>
      </c>
      <c r="DF50" s="3">
        <v>47</v>
      </c>
      <c r="DG50" s="3">
        <v>51</v>
      </c>
      <c r="DH50" s="3">
        <v>52</v>
      </c>
      <c r="DI50" s="3">
        <v>50</v>
      </c>
      <c r="DJ50" s="3">
        <v>60</v>
      </c>
      <c r="DK50" s="3">
        <v>62</v>
      </c>
      <c r="DL50" s="3">
        <v>57</v>
      </c>
      <c r="DM50" s="3">
        <v>62</v>
      </c>
      <c r="DN50" s="3">
        <v>70</v>
      </c>
      <c r="DO50" s="3">
        <v>41</v>
      </c>
      <c r="DP50" s="20">
        <v>30.4</v>
      </c>
      <c r="DQ50" s="9">
        <v>50.14</v>
      </c>
      <c r="DR50" s="3">
        <v>32</v>
      </c>
      <c r="DS50" s="3">
        <v>37</v>
      </c>
      <c r="DT50" s="3">
        <v>41</v>
      </c>
      <c r="DU50" s="3">
        <v>38</v>
      </c>
      <c r="DV50" s="3">
        <v>34</v>
      </c>
      <c r="DW50" s="3">
        <v>39</v>
      </c>
      <c r="DX50" s="3">
        <v>48</v>
      </c>
      <c r="DY50" s="3">
        <v>56</v>
      </c>
      <c r="DZ50" s="3">
        <v>59</v>
      </c>
      <c r="EA50" s="3">
        <v>63</v>
      </c>
      <c r="EB50" s="3">
        <v>41.4</v>
      </c>
      <c r="EC50" s="3">
        <v>13</v>
      </c>
      <c r="ED50" s="9">
        <f t="shared" si="16"/>
        <v>36.160000000000004</v>
      </c>
      <c r="EE50" s="3">
        <v>7</v>
      </c>
      <c r="EF50" s="3">
        <v>24</v>
      </c>
      <c r="EG50" s="3">
        <v>27</v>
      </c>
      <c r="EH50" s="3">
        <v>28</v>
      </c>
      <c r="EI50" s="3">
        <v>31</v>
      </c>
      <c r="EJ50" s="3">
        <v>40</v>
      </c>
      <c r="EK50" s="3">
        <v>38</v>
      </c>
      <c r="EL50" s="3">
        <v>37</v>
      </c>
      <c r="EM50" s="3">
        <v>40</v>
      </c>
      <c r="EN50" s="3">
        <v>42</v>
      </c>
      <c r="EO50" s="3">
        <v>32</v>
      </c>
      <c r="EP50" s="3">
        <v>15.6</v>
      </c>
      <c r="EQ50" s="9">
        <f t="shared" si="17"/>
        <v>20.9</v>
      </c>
      <c r="ER50" s="3">
        <v>15</v>
      </c>
      <c r="ES50" s="3">
        <v>13</v>
      </c>
      <c r="ET50" s="3">
        <v>14</v>
      </c>
      <c r="EU50" s="3">
        <v>14</v>
      </c>
      <c r="EV50" s="3">
        <v>14</v>
      </c>
      <c r="EW50" s="3">
        <v>18</v>
      </c>
      <c r="EX50" s="3">
        <v>11</v>
      </c>
      <c r="EY50" s="3">
        <v>21</v>
      </c>
      <c r="EZ50" s="3">
        <v>21</v>
      </c>
      <c r="FA50" s="3">
        <v>25</v>
      </c>
      <c r="FB50" s="3">
        <v>26</v>
      </c>
      <c r="FC50" s="3">
        <v>17</v>
      </c>
      <c r="FD50" s="69">
        <f t="shared" si="9"/>
        <v>25</v>
      </c>
      <c r="FE50" s="3"/>
      <c r="FF50" s="3">
        <v>0</v>
      </c>
      <c r="FG50" s="3">
        <v>37</v>
      </c>
      <c r="FH50" s="3">
        <v>50</v>
      </c>
      <c r="FI50" s="3">
        <v>36</v>
      </c>
      <c r="FJ50" s="3">
        <v>29</v>
      </c>
      <c r="FK50" s="3">
        <v>24</v>
      </c>
      <c r="FL50" s="3">
        <v>21</v>
      </c>
      <c r="FM50" s="3">
        <v>14</v>
      </c>
      <c r="FN50" s="3">
        <v>14</v>
      </c>
      <c r="FO50" s="3">
        <v>15</v>
      </c>
      <c r="FP50" s="3">
        <v>10</v>
      </c>
      <c r="FQ50" s="102"/>
      <c r="FR50" s="102"/>
      <c r="GA50" s="34"/>
    </row>
    <row r="51" spans="1:183" x14ac:dyDescent="0.25">
      <c r="A51" s="6" t="s">
        <v>176</v>
      </c>
      <c r="B51" s="25" t="s">
        <v>207</v>
      </c>
      <c r="C51" s="1" t="s">
        <v>199</v>
      </c>
      <c r="D51" s="141">
        <f t="shared" si="15"/>
        <v>175</v>
      </c>
      <c r="E51" s="141">
        <v>146</v>
      </c>
      <c r="F51" s="141">
        <v>176</v>
      </c>
      <c r="G51" s="141">
        <v>185</v>
      </c>
      <c r="H51" s="141">
        <v>193</v>
      </c>
      <c r="P51" s="77"/>
      <c r="Q51" s="159">
        <f t="shared" si="10"/>
        <v>193.9</v>
      </c>
      <c r="R51" s="141">
        <v>134</v>
      </c>
      <c r="S51" s="141">
        <v>143</v>
      </c>
      <c r="T51" s="141">
        <v>158</v>
      </c>
      <c r="U51" s="141">
        <v>170</v>
      </c>
      <c r="V51" s="141">
        <v>173</v>
      </c>
      <c r="W51" s="141">
        <v>176</v>
      </c>
      <c r="X51" s="141">
        <v>180</v>
      </c>
      <c r="Y51" s="141">
        <v>180</v>
      </c>
      <c r="Z51" s="141">
        <v>180</v>
      </c>
      <c r="AA51" s="141">
        <v>176</v>
      </c>
      <c r="AB51" s="141">
        <v>139</v>
      </c>
      <c r="AC51" s="154">
        <v>130</v>
      </c>
      <c r="AD51" s="160">
        <v>150.1</v>
      </c>
      <c r="AE51" s="141">
        <v>93</v>
      </c>
      <c r="AF51" s="141">
        <v>86</v>
      </c>
      <c r="AG51" s="141">
        <v>114</v>
      </c>
      <c r="AH51" s="141">
        <v>120</v>
      </c>
      <c r="AI51" s="141">
        <v>109</v>
      </c>
      <c r="AJ51" s="141">
        <v>128</v>
      </c>
      <c r="AK51" s="141">
        <v>124</v>
      </c>
      <c r="AL51" s="141">
        <v>146</v>
      </c>
      <c r="AM51" s="141">
        <v>159</v>
      </c>
      <c r="AN51" s="141">
        <v>148</v>
      </c>
      <c r="AO51" s="141">
        <v>148</v>
      </c>
      <c r="AP51" s="141">
        <v>126</v>
      </c>
      <c r="AQ51" s="9">
        <f t="shared" si="13"/>
        <v>122.8</v>
      </c>
      <c r="AR51" s="3">
        <v>89</v>
      </c>
      <c r="AS51" s="3">
        <v>84</v>
      </c>
      <c r="AT51" s="3">
        <v>94</v>
      </c>
      <c r="AU51" s="3">
        <v>105</v>
      </c>
      <c r="AV51" s="3">
        <v>107</v>
      </c>
      <c r="AW51" s="3">
        <v>94</v>
      </c>
      <c r="AX51" s="3">
        <v>129</v>
      </c>
      <c r="AY51" s="3">
        <v>125</v>
      </c>
      <c r="AZ51" s="3">
        <v>113</v>
      </c>
      <c r="BA51" s="3">
        <v>119</v>
      </c>
      <c r="BB51" s="3">
        <v>91</v>
      </c>
      <c r="BC51" s="3">
        <v>78</v>
      </c>
      <c r="BD51" s="117">
        <v>94.1</v>
      </c>
      <c r="BE51" s="3">
        <v>64</v>
      </c>
      <c r="BF51" s="3">
        <v>68</v>
      </c>
      <c r="BG51" s="3">
        <v>69</v>
      </c>
      <c r="BH51" s="3">
        <v>80</v>
      </c>
      <c r="BI51" s="3">
        <v>83</v>
      </c>
      <c r="BJ51" s="3">
        <v>81</v>
      </c>
      <c r="BK51" s="3">
        <v>78</v>
      </c>
      <c r="BL51" s="3">
        <v>91</v>
      </c>
      <c r="BM51" s="3">
        <v>84</v>
      </c>
      <c r="BN51" s="3">
        <v>86</v>
      </c>
      <c r="BO51" s="3">
        <v>80</v>
      </c>
      <c r="BP51" s="20">
        <v>77</v>
      </c>
      <c r="BQ51" s="65">
        <v>96.9</v>
      </c>
      <c r="BR51" s="3">
        <v>80</v>
      </c>
      <c r="BS51" s="3">
        <v>78</v>
      </c>
      <c r="BT51" s="3">
        <v>83</v>
      </c>
      <c r="BU51" s="3">
        <v>89</v>
      </c>
      <c r="BV51" s="3">
        <v>84</v>
      </c>
      <c r="BW51" s="3">
        <v>97</v>
      </c>
      <c r="BX51" s="3">
        <v>97</v>
      </c>
      <c r="BY51" s="3">
        <v>87</v>
      </c>
      <c r="BZ51" s="3">
        <v>90</v>
      </c>
      <c r="CA51" s="3">
        <v>84</v>
      </c>
      <c r="CB51" s="3">
        <v>55</v>
      </c>
      <c r="CC51" s="3">
        <v>45</v>
      </c>
      <c r="CD51" s="16">
        <v>138.91400000000002</v>
      </c>
      <c r="CE51" s="3">
        <v>88</v>
      </c>
      <c r="CF51" s="3">
        <v>100</v>
      </c>
      <c r="CG51" s="3">
        <v>125</v>
      </c>
      <c r="CH51" s="3">
        <v>125</v>
      </c>
      <c r="CI51" s="3">
        <v>113</v>
      </c>
      <c r="CJ51" s="3">
        <v>114</v>
      </c>
      <c r="CK51" s="3">
        <v>125</v>
      </c>
      <c r="CL51" s="66">
        <v>134.19999999999999</v>
      </c>
      <c r="CM51" s="66">
        <v>132.76</v>
      </c>
      <c r="CN51" s="66">
        <v>160.18</v>
      </c>
      <c r="CO51" s="3">
        <v>92</v>
      </c>
      <c r="CP51" s="3">
        <v>80</v>
      </c>
      <c r="CQ51" s="9">
        <v>69.900000000000006</v>
      </c>
      <c r="CR51" s="3">
        <v>2</v>
      </c>
      <c r="CS51" s="3">
        <v>22</v>
      </c>
      <c r="CT51" s="3">
        <v>36</v>
      </c>
      <c r="CU51" s="3">
        <v>42</v>
      </c>
      <c r="CV51" s="3">
        <v>33</v>
      </c>
      <c r="CW51" s="3">
        <v>78</v>
      </c>
      <c r="CX51" s="3">
        <v>79</v>
      </c>
      <c r="CY51" s="3">
        <v>93</v>
      </c>
      <c r="CZ51" s="3">
        <v>92</v>
      </c>
      <c r="DA51" s="3">
        <v>111</v>
      </c>
      <c r="DB51" s="3">
        <v>54</v>
      </c>
      <c r="DC51" s="3">
        <v>57</v>
      </c>
      <c r="DD51" s="9">
        <v>9</v>
      </c>
      <c r="DE51" s="3">
        <v>7</v>
      </c>
      <c r="DF51" s="3">
        <v>8</v>
      </c>
      <c r="DG51" s="3">
        <v>10</v>
      </c>
      <c r="DH51" s="3">
        <v>9</v>
      </c>
      <c r="DI51" s="3">
        <v>7</v>
      </c>
      <c r="DJ51" s="3">
        <v>7</v>
      </c>
      <c r="DK51" s="3">
        <v>8</v>
      </c>
      <c r="DL51" s="3">
        <v>10</v>
      </c>
      <c r="DM51" s="3">
        <v>12</v>
      </c>
      <c r="DN51" s="3">
        <v>12</v>
      </c>
      <c r="DO51" s="3">
        <v>0</v>
      </c>
      <c r="DP51" s="20">
        <v>0</v>
      </c>
      <c r="DQ51" s="9">
        <v>9</v>
      </c>
      <c r="DR51" s="3">
        <v>8</v>
      </c>
      <c r="DS51" s="3">
        <v>10</v>
      </c>
      <c r="DT51" s="3">
        <v>10</v>
      </c>
      <c r="DU51" s="3">
        <v>11</v>
      </c>
      <c r="DV51" s="3">
        <v>6</v>
      </c>
      <c r="DW51" s="3">
        <v>10</v>
      </c>
      <c r="DX51" s="3">
        <v>11</v>
      </c>
      <c r="DY51" s="3">
        <v>9</v>
      </c>
      <c r="DZ51" s="3">
        <v>7</v>
      </c>
      <c r="EA51" s="3">
        <v>8</v>
      </c>
      <c r="EB51" s="3">
        <v>0</v>
      </c>
      <c r="EC51" s="3">
        <v>0</v>
      </c>
      <c r="ED51" s="9">
        <f t="shared" si="16"/>
        <v>6.06</v>
      </c>
      <c r="EE51" s="3">
        <v>1.9</v>
      </c>
      <c r="EF51" s="3">
        <v>1.9</v>
      </c>
      <c r="EG51" s="3">
        <v>1.9</v>
      </c>
      <c r="EH51" s="3">
        <v>1.9</v>
      </c>
      <c r="EI51" s="3">
        <v>3.7</v>
      </c>
      <c r="EJ51" s="3">
        <v>5.5</v>
      </c>
      <c r="EK51" s="3">
        <v>11</v>
      </c>
      <c r="EL51" s="3">
        <v>12.8</v>
      </c>
      <c r="EM51" s="3">
        <v>8.1999999999999993</v>
      </c>
      <c r="EN51" s="3">
        <v>11.8</v>
      </c>
      <c r="EO51" s="3">
        <v>0</v>
      </c>
      <c r="EP51" s="3">
        <v>0</v>
      </c>
      <c r="EQ51" s="89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97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102"/>
      <c r="FR51" s="102"/>
      <c r="GA51" s="34"/>
    </row>
    <row r="52" spans="1:183" x14ac:dyDescent="0.25">
      <c r="A52" s="12" t="s">
        <v>160</v>
      </c>
      <c r="B52" s="27" t="s">
        <v>149</v>
      </c>
      <c r="C52" s="4" t="s">
        <v>148</v>
      </c>
      <c r="D52" s="137">
        <f t="shared" si="15"/>
        <v>168.23750000000001</v>
      </c>
      <c r="E52" s="137">
        <v>120</v>
      </c>
      <c r="F52" s="137">
        <v>183.6</v>
      </c>
      <c r="G52" s="137">
        <v>196.27</v>
      </c>
      <c r="H52" s="137">
        <v>173.08</v>
      </c>
      <c r="I52" s="4"/>
      <c r="J52" s="4"/>
      <c r="K52" s="4"/>
      <c r="L52" s="4"/>
      <c r="M52" s="4"/>
      <c r="N52" s="4"/>
      <c r="O52" s="4"/>
      <c r="P52" s="178"/>
      <c r="Q52" s="158">
        <f t="shared" si="10"/>
        <v>168.5</v>
      </c>
      <c r="R52" s="137">
        <v>138</v>
      </c>
      <c r="S52" s="137">
        <v>143</v>
      </c>
      <c r="T52" s="137">
        <v>152</v>
      </c>
      <c r="U52" s="137">
        <v>141</v>
      </c>
      <c r="V52" s="137">
        <v>145</v>
      </c>
      <c r="W52" s="137">
        <v>141</v>
      </c>
      <c r="X52" s="137">
        <v>162</v>
      </c>
      <c r="Y52" s="137">
        <v>166</v>
      </c>
      <c r="Z52" s="137">
        <v>162</v>
      </c>
      <c r="AA52" s="137">
        <v>159</v>
      </c>
      <c r="AB52" s="137">
        <v>141</v>
      </c>
      <c r="AC52" s="140">
        <v>35</v>
      </c>
      <c r="AD52" s="159">
        <v>156.005</v>
      </c>
      <c r="AE52" s="137">
        <v>123</v>
      </c>
      <c r="AF52" s="137">
        <v>148</v>
      </c>
      <c r="AG52" s="137">
        <v>157</v>
      </c>
      <c r="AH52" s="137">
        <v>147</v>
      </c>
      <c r="AI52" s="137">
        <v>128.53</v>
      </c>
      <c r="AJ52" s="137">
        <v>143.4</v>
      </c>
      <c r="AK52" s="137">
        <v>139.53</v>
      </c>
      <c r="AL52" s="137">
        <v>139.53</v>
      </c>
      <c r="AM52" s="137">
        <v>143.53</v>
      </c>
      <c r="AN52" s="137">
        <v>144.53</v>
      </c>
      <c r="AO52" s="137">
        <v>125</v>
      </c>
      <c r="AP52" s="140">
        <v>21</v>
      </c>
      <c r="AQ52" s="8">
        <f t="shared" si="13"/>
        <v>152.02500000000001</v>
      </c>
      <c r="AR52" s="14">
        <v>101</v>
      </c>
      <c r="AS52" s="14">
        <v>131.19999999999999</v>
      </c>
      <c r="AT52" s="14">
        <v>138.19999999999999</v>
      </c>
      <c r="AU52" s="14">
        <v>147.19999999999999</v>
      </c>
      <c r="AV52" s="14">
        <v>119</v>
      </c>
      <c r="AW52" s="14">
        <v>132.72999999999999</v>
      </c>
      <c r="AX52" s="14">
        <v>145.72999999999999</v>
      </c>
      <c r="AY52" s="14">
        <v>144.72999999999999</v>
      </c>
      <c r="AZ52" s="14">
        <v>141.72999999999999</v>
      </c>
      <c r="BA52" s="14">
        <v>155.72999999999999</v>
      </c>
      <c r="BB52" s="14">
        <v>134</v>
      </c>
      <c r="BC52" s="19">
        <v>29</v>
      </c>
      <c r="BD52" s="116">
        <v>141.51900000000001</v>
      </c>
      <c r="BE52" s="14">
        <v>98</v>
      </c>
      <c r="BF52" s="14">
        <v>128.53</v>
      </c>
      <c r="BG52" s="14">
        <v>129.53</v>
      </c>
      <c r="BH52" s="14">
        <v>120.13</v>
      </c>
      <c r="BI52" s="14">
        <v>124</v>
      </c>
      <c r="BJ52" s="14">
        <v>121</v>
      </c>
      <c r="BK52" s="14">
        <v>132</v>
      </c>
      <c r="BL52" s="14">
        <v>144</v>
      </c>
      <c r="BM52" s="14">
        <v>140</v>
      </c>
      <c r="BN52" s="14">
        <v>148</v>
      </c>
      <c r="BO52" s="14">
        <v>107</v>
      </c>
      <c r="BP52" s="19">
        <v>23</v>
      </c>
      <c r="BQ52" s="70">
        <v>157.667</v>
      </c>
      <c r="BR52" s="14">
        <v>158</v>
      </c>
      <c r="BS52" s="14">
        <v>121.2</v>
      </c>
      <c r="BT52" s="14">
        <v>136.87</v>
      </c>
      <c r="BU52" s="14">
        <v>143.87</v>
      </c>
      <c r="BV52" s="14">
        <v>133.4</v>
      </c>
      <c r="BW52" s="14">
        <v>137.19999999999999</v>
      </c>
      <c r="BX52" s="14">
        <v>143.19999999999999</v>
      </c>
      <c r="BY52" s="14">
        <v>159.72999999999999</v>
      </c>
      <c r="BZ52" s="14">
        <v>154</v>
      </c>
      <c r="CA52" s="14">
        <v>159.19999999999999</v>
      </c>
      <c r="CB52" s="14">
        <v>110</v>
      </c>
      <c r="CC52" s="14">
        <v>20</v>
      </c>
      <c r="CD52" s="17">
        <v>190.74600000000001</v>
      </c>
      <c r="CE52" s="14">
        <v>127</v>
      </c>
      <c r="CF52" s="14">
        <v>139.61000000000001</v>
      </c>
      <c r="CG52" s="14">
        <v>159.61000000000001</v>
      </c>
      <c r="CH52" s="14">
        <v>170.61</v>
      </c>
      <c r="CI52" s="14">
        <v>176.94</v>
      </c>
      <c r="CJ52" s="14">
        <v>181.94</v>
      </c>
      <c r="CK52" s="14">
        <v>197.94</v>
      </c>
      <c r="CL52" s="71">
        <v>189.14</v>
      </c>
      <c r="CM52" s="71">
        <v>184.63</v>
      </c>
      <c r="CN52" s="71">
        <v>207.04</v>
      </c>
      <c r="CO52" s="14">
        <v>148</v>
      </c>
      <c r="CP52" s="14">
        <v>25</v>
      </c>
      <c r="CQ52" s="8">
        <v>234.46199999999999</v>
      </c>
      <c r="CR52" s="14">
        <v>180</v>
      </c>
      <c r="CS52" s="14">
        <v>228</v>
      </c>
      <c r="CT52" s="14">
        <v>223.35999999999999</v>
      </c>
      <c r="CU52" s="14">
        <v>223.35999999999999</v>
      </c>
      <c r="CV52" s="14">
        <v>251.29</v>
      </c>
      <c r="CW52" s="14">
        <v>203.06</v>
      </c>
      <c r="CX52" s="14">
        <v>226.09</v>
      </c>
      <c r="CY52" s="14">
        <v>234.62</v>
      </c>
      <c r="CZ52" s="14">
        <v>229.02</v>
      </c>
      <c r="DA52" s="14">
        <v>256.82</v>
      </c>
      <c r="DB52" s="14">
        <v>65</v>
      </c>
      <c r="DC52" s="14">
        <v>24</v>
      </c>
      <c r="DD52" s="8">
        <v>279.36</v>
      </c>
      <c r="DE52" s="14">
        <v>170.8</v>
      </c>
      <c r="DF52" s="14">
        <v>161.80000000000001</v>
      </c>
      <c r="DG52" s="14">
        <v>207</v>
      </c>
      <c r="DH52" s="14">
        <v>285</v>
      </c>
      <c r="DI52" s="14">
        <v>266</v>
      </c>
      <c r="DJ52" s="14">
        <v>288</v>
      </c>
      <c r="DK52" s="14">
        <v>294</v>
      </c>
      <c r="DL52" s="14">
        <v>275</v>
      </c>
      <c r="DM52" s="14">
        <v>263</v>
      </c>
      <c r="DN52" s="14">
        <v>272</v>
      </c>
      <c r="DO52" s="14">
        <v>197</v>
      </c>
      <c r="DP52" s="19">
        <v>114</v>
      </c>
      <c r="DQ52" s="8">
        <v>202.03000000000003</v>
      </c>
      <c r="DR52" s="14">
        <v>129</v>
      </c>
      <c r="DS52" s="14">
        <v>132.19999999999999</v>
      </c>
      <c r="DT52" s="14">
        <v>184</v>
      </c>
      <c r="DU52" s="14">
        <v>189.53</v>
      </c>
      <c r="DV52" s="14">
        <v>180.87</v>
      </c>
      <c r="DW52" s="14">
        <v>188.87</v>
      </c>
      <c r="DX52" s="14">
        <v>207.87</v>
      </c>
      <c r="DY52" s="14">
        <v>220.2</v>
      </c>
      <c r="DZ52" s="14">
        <v>212.92999999999998</v>
      </c>
      <c r="EA52" s="14">
        <v>214.93</v>
      </c>
      <c r="EB52" s="14">
        <v>140.1</v>
      </c>
      <c r="EC52" s="14">
        <v>19.8</v>
      </c>
      <c r="ED52" s="8">
        <f t="shared" si="16"/>
        <v>151.61000000000001</v>
      </c>
      <c r="EE52" s="14">
        <v>74</v>
      </c>
      <c r="EF52" s="14">
        <v>99</v>
      </c>
      <c r="EG52" s="14">
        <v>127</v>
      </c>
      <c r="EH52" s="14">
        <v>146</v>
      </c>
      <c r="EI52" s="14">
        <v>118</v>
      </c>
      <c r="EJ52" s="14">
        <v>137</v>
      </c>
      <c r="EK52" s="14">
        <v>155</v>
      </c>
      <c r="EL52" s="14">
        <v>173</v>
      </c>
      <c r="EM52" s="14">
        <v>148</v>
      </c>
      <c r="EN52" s="14">
        <v>164</v>
      </c>
      <c r="EO52" s="14">
        <v>124.9</v>
      </c>
      <c r="EP52" s="14">
        <v>50.2</v>
      </c>
      <c r="EQ52" s="8">
        <f t="shared" ref="EQ52:EQ59" si="18">+IFERROR((SUM(ER52:FC52)/10),0)</f>
        <v>46.019999999999996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3</v>
      </c>
      <c r="EX52" s="14">
        <v>77</v>
      </c>
      <c r="EY52" s="14">
        <v>103</v>
      </c>
      <c r="EZ52" s="14">
        <v>117</v>
      </c>
      <c r="FA52" s="14">
        <v>134</v>
      </c>
      <c r="FB52" s="14">
        <v>26.2</v>
      </c>
      <c r="FC52" s="14">
        <v>0</v>
      </c>
      <c r="FD52" s="100"/>
      <c r="FE52" s="99"/>
      <c r="FF52" s="99"/>
      <c r="FG52" s="99"/>
      <c r="FH52" s="99"/>
      <c r="FI52" s="99"/>
      <c r="FJ52" s="99"/>
      <c r="FK52" s="99"/>
      <c r="FL52" s="99"/>
      <c r="FM52" s="99"/>
      <c r="FN52" s="99"/>
      <c r="FO52" s="99"/>
      <c r="FP52" s="99"/>
      <c r="FQ52" s="108"/>
      <c r="FR52" s="108"/>
      <c r="GA52" s="34"/>
    </row>
    <row r="53" spans="1:183" x14ac:dyDescent="0.25">
      <c r="A53" s="6" t="s">
        <v>204</v>
      </c>
      <c r="B53" s="25" t="s">
        <v>220</v>
      </c>
      <c r="C53" s="1" t="s">
        <v>211</v>
      </c>
      <c r="D53" s="141">
        <f t="shared" si="15"/>
        <v>72.992500000000007</v>
      </c>
      <c r="E53" s="141">
        <v>65.990000000000009</v>
      </c>
      <c r="F53" s="141">
        <v>66</v>
      </c>
      <c r="G53" s="141">
        <v>79.990000000000009</v>
      </c>
      <c r="H53" s="141">
        <v>79.990000000000009</v>
      </c>
      <c r="P53" s="77"/>
      <c r="Q53" s="159">
        <f t="shared" si="10"/>
        <v>42.791000000000004</v>
      </c>
      <c r="R53" s="141">
        <v>32.97</v>
      </c>
      <c r="S53" s="141">
        <v>34.97</v>
      </c>
      <c r="T53" s="141">
        <v>34</v>
      </c>
      <c r="U53" s="141">
        <v>34</v>
      </c>
      <c r="V53" s="141">
        <v>31</v>
      </c>
      <c r="W53" s="141">
        <v>41</v>
      </c>
      <c r="X53" s="141">
        <v>49</v>
      </c>
      <c r="Y53" s="141">
        <v>58.989999999999995</v>
      </c>
      <c r="Z53" s="141">
        <v>56.989999999999995</v>
      </c>
      <c r="AA53" s="141">
        <v>54.989999999999995</v>
      </c>
      <c r="AB53" s="141">
        <v>0</v>
      </c>
      <c r="AC53" s="154">
        <v>0</v>
      </c>
      <c r="AD53" s="159">
        <v>38.337000000000003</v>
      </c>
      <c r="AE53" s="141">
        <v>37.94</v>
      </c>
      <c r="AF53" s="141">
        <v>39.94</v>
      </c>
      <c r="AG53" s="141">
        <v>45.97</v>
      </c>
      <c r="AH53" s="141">
        <v>41.97</v>
      </c>
      <c r="AI53" s="141">
        <v>41.94</v>
      </c>
      <c r="AJ53" s="141">
        <v>38.94</v>
      </c>
      <c r="AK53" s="141">
        <v>39.909999999999997</v>
      </c>
      <c r="AL53" s="141">
        <v>35.94</v>
      </c>
      <c r="AM53" s="141">
        <v>33.910000000000004</v>
      </c>
      <c r="AN53" s="141">
        <v>26.91</v>
      </c>
      <c r="AO53" s="141">
        <v>0</v>
      </c>
      <c r="AP53" s="154">
        <v>0</v>
      </c>
      <c r="AQ53" s="9">
        <f t="shared" si="13"/>
        <v>41.053999999999995</v>
      </c>
      <c r="AR53" s="3">
        <v>37</v>
      </c>
      <c r="AS53" s="3">
        <v>40</v>
      </c>
      <c r="AT53" s="3">
        <v>47.910000000000004</v>
      </c>
      <c r="AU53" s="3">
        <v>40.959999999999994</v>
      </c>
      <c r="AV53" s="3">
        <v>34.96</v>
      </c>
      <c r="AW53" s="3">
        <v>37.96</v>
      </c>
      <c r="AX53" s="3">
        <v>40.96</v>
      </c>
      <c r="AY53" s="3">
        <v>43.96</v>
      </c>
      <c r="AZ53" s="3">
        <v>43.93</v>
      </c>
      <c r="BA53" s="3">
        <v>42.9</v>
      </c>
      <c r="BB53" s="3">
        <v>0</v>
      </c>
      <c r="BC53" s="20">
        <v>0</v>
      </c>
      <c r="BD53" s="117">
        <v>40.184000000000005</v>
      </c>
      <c r="BE53" s="3">
        <v>34</v>
      </c>
      <c r="BF53" s="3">
        <v>34</v>
      </c>
      <c r="BG53" s="3">
        <v>42</v>
      </c>
      <c r="BH53" s="3">
        <v>44</v>
      </c>
      <c r="BI53" s="3">
        <v>44</v>
      </c>
      <c r="BJ53" s="3">
        <v>43</v>
      </c>
      <c r="BK53" s="3">
        <v>44</v>
      </c>
      <c r="BL53" s="3">
        <v>37.9</v>
      </c>
      <c r="BM53" s="3">
        <v>36.97</v>
      </c>
      <c r="BN53" s="3">
        <v>41.97</v>
      </c>
      <c r="BO53" s="3">
        <v>0</v>
      </c>
      <c r="BP53" s="20">
        <v>0</v>
      </c>
      <c r="BQ53" s="65">
        <v>31.5</v>
      </c>
      <c r="BR53" s="3">
        <v>27</v>
      </c>
      <c r="BS53" s="3">
        <v>27</v>
      </c>
      <c r="BT53" s="3">
        <v>30</v>
      </c>
      <c r="BU53" s="3">
        <v>30</v>
      </c>
      <c r="BV53" s="3">
        <v>30</v>
      </c>
      <c r="BW53" s="3">
        <v>33</v>
      </c>
      <c r="BX53" s="3">
        <v>34</v>
      </c>
      <c r="BY53" s="3">
        <v>33</v>
      </c>
      <c r="BZ53" s="3">
        <v>37</v>
      </c>
      <c r="CA53" s="3">
        <v>34</v>
      </c>
      <c r="CB53" s="3">
        <v>0</v>
      </c>
      <c r="CC53" s="3">
        <v>0</v>
      </c>
      <c r="CD53" s="16">
        <v>48.57</v>
      </c>
      <c r="CE53" s="3">
        <v>41</v>
      </c>
      <c r="CF53" s="3">
        <v>45</v>
      </c>
      <c r="CG53" s="3">
        <v>48</v>
      </c>
      <c r="CH53" s="3">
        <v>46</v>
      </c>
      <c r="CI53" s="3">
        <v>43</v>
      </c>
      <c r="CJ53" s="3">
        <v>45</v>
      </c>
      <c r="CK53" s="3">
        <v>44</v>
      </c>
      <c r="CL53" s="66">
        <v>58.05</v>
      </c>
      <c r="CM53" s="66">
        <v>58.5</v>
      </c>
      <c r="CN53" s="66">
        <v>57.15</v>
      </c>
      <c r="CO53" s="3">
        <v>0</v>
      </c>
      <c r="CP53" s="3">
        <v>0</v>
      </c>
      <c r="CQ53" s="9">
        <v>40.299999999999997</v>
      </c>
      <c r="CR53" s="3">
        <v>38</v>
      </c>
      <c r="CS53" s="3">
        <v>35</v>
      </c>
      <c r="CT53" s="3">
        <v>43</v>
      </c>
      <c r="CU53" s="3">
        <v>39</v>
      </c>
      <c r="CV53" s="3">
        <v>35</v>
      </c>
      <c r="CW53" s="3">
        <v>47</v>
      </c>
      <c r="CX53" s="3">
        <v>35</v>
      </c>
      <c r="CY53" s="3">
        <v>44</v>
      </c>
      <c r="CZ53" s="3">
        <v>44</v>
      </c>
      <c r="DA53" s="3">
        <v>43</v>
      </c>
      <c r="DB53" s="3">
        <v>0</v>
      </c>
      <c r="DC53" s="3">
        <v>0</v>
      </c>
      <c r="DD53" s="9">
        <v>35.299999999999997</v>
      </c>
      <c r="DE53" s="3">
        <v>38</v>
      </c>
      <c r="DF53" s="3">
        <v>14</v>
      </c>
      <c r="DG53" s="3">
        <v>37</v>
      </c>
      <c r="DH53" s="3">
        <v>34</v>
      </c>
      <c r="DI53" s="3">
        <v>28</v>
      </c>
      <c r="DJ53" s="3">
        <v>40</v>
      </c>
      <c r="DK53" s="3">
        <v>42</v>
      </c>
      <c r="DL53" s="3">
        <v>36</v>
      </c>
      <c r="DM53" s="3">
        <v>45</v>
      </c>
      <c r="DN53" s="3">
        <v>39</v>
      </c>
      <c r="DO53" s="3">
        <v>0</v>
      </c>
      <c r="DP53" s="20">
        <v>0</v>
      </c>
      <c r="DQ53" s="9">
        <v>43.9</v>
      </c>
      <c r="DR53" s="3">
        <v>40</v>
      </c>
      <c r="DS53" s="3">
        <v>42</v>
      </c>
      <c r="DT53" s="3">
        <v>49</v>
      </c>
      <c r="DU53" s="3">
        <v>46</v>
      </c>
      <c r="DV53" s="3">
        <v>35</v>
      </c>
      <c r="DW53" s="3">
        <v>47</v>
      </c>
      <c r="DX53" s="3">
        <v>47</v>
      </c>
      <c r="DY53" s="3">
        <v>47</v>
      </c>
      <c r="DZ53" s="3">
        <v>44</v>
      </c>
      <c r="EA53" s="3">
        <v>42</v>
      </c>
      <c r="EB53" s="3">
        <v>0</v>
      </c>
      <c r="EC53" s="3">
        <v>0</v>
      </c>
      <c r="ED53" s="9">
        <f t="shared" si="16"/>
        <v>24.029999999999994</v>
      </c>
      <c r="EE53" s="3"/>
      <c r="EF53" s="3">
        <v>15</v>
      </c>
      <c r="EG53" s="3">
        <v>19</v>
      </c>
      <c r="EH53" s="3">
        <v>19</v>
      </c>
      <c r="EI53" s="3">
        <v>21.66</v>
      </c>
      <c r="EJ53" s="3">
        <v>27.66</v>
      </c>
      <c r="EK53" s="3">
        <v>32.659999999999997</v>
      </c>
      <c r="EL53" s="3">
        <v>33.659999999999997</v>
      </c>
      <c r="EM53" s="3">
        <v>36.33</v>
      </c>
      <c r="EN53" s="3">
        <v>35.33</v>
      </c>
      <c r="EO53" s="3">
        <v>0</v>
      </c>
      <c r="EP53" s="3">
        <v>0</v>
      </c>
      <c r="EQ53" s="89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9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102"/>
      <c r="FR53" s="102"/>
      <c r="GA53" s="34"/>
    </row>
    <row r="54" spans="1:183" x14ac:dyDescent="0.25">
      <c r="A54" s="6" t="s">
        <v>329</v>
      </c>
      <c r="B54" s="25" t="s">
        <v>342</v>
      </c>
      <c r="C54" s="1" t="s">
        <v>338</v>
      </c>
      <c r="D54" s="141">
        <f t="shared" si="15"/>
        <v>24.25</v>
      </c>
      <c r="E54" s="141">
        <v>17</v>
      </c>
      <c r="F54" s="141">
        <v>23</v>
      </c>
      <c r="G54" s="141">
        <v>28</v>
      </c>
      <c r="H54" s="141">
        <v>29</v>
      </c>
      <c r="P54" s="77"/>
      <c r="Q54" s="159">
        <f t="shared" si="10"/>
        <v>19.399999999999999</v>
      </c>
      <c r="R54" s="141">
        <v>18</v>
      </c>
      <c r="S54" s="141">
        <v>15</v>
      </c>
      <c r="T54" s="141">
        <v>18</v>
      </c>
      <c r="U54" s="141">
        <v>21</v>
      </c>
      <c r="V54" s="141">
        <v>20</v>
      </c>
      <c r="W54" s="141">
        <v>23</v>
      </c>
      <c r="X54" s="141">
        <v>26</v>
      </c>
      <c r="Y54" s="141">
        <v>21</v>
      </c>
      <c r="Z54" s="141">
        <v>11</v>
      </c>
      <c r="AA54" s="141">
        <v>21</v>
      </c>
      <c r="AB54" s="141">
        <v>0</v>
      </c>
      <c r="AC54" s="154">
        <v>0</v>
      </c>
      <c r="AD54" s="159">
        <v>18.8</v>
      </c>
      <c r="AE54" s="141">
        <v>11</v>
      </c>
      <c r="AF54" s="141">
        <v>13</v>
      </c>
      <c r="AG54" s="141">
        <v>13</v>
      </c>
      <c r="AH54" s="141">
        <v>18</v>
      </c>
      <c r="AI54" s="141">
        <v>19</v>
      </c>
      <c r="AJ54" s="141">
        <v>16</v>
      </c>
      <c r="AK54" s="141">
        <v>22</v>
      </c>
      <c r="AL54" s="141">
        <v>27</v>
      </c>
      <c r="AM54" s="141">
        <v>24</v>
      </c>
      <c r="AN54" s="141">
        <v>25</v>
      </c>
      <c r="AO54" s="141">
        <v>0</v>
      </c>
      <c r="AP54" s="154">
        <v>0</v>
      </c>
      <c r="AQ54" s="9">
        <f t="shared" si="13"/>
        <v>17.619999999999997</v>
      </c>
      <c r="AR54" s="3">
        <v>16.600000000000001</v>
      </c>
      <c r="AS54" s="3">
        <v>14</v>
      </c>
      <c r="AT54" s="3">
        <v>15.6</v>
      </c>
      <c r="AU54" s="3">
        <v>17</v>
      </c>
      <c r="AV54" s="3">
        <v>17</v>
      </c>
      <c r="AW54" s="3">
        <v>17</v>
      </c>
      <c r="AX54" s="3">
        <v>19</v>
      </c>
      <c r="AY54" s="3">
        <v>21</v>
      </c>
      <c r="AZ54" s="3">
        <v>18</v>
      </c>
      <c r="BA54" s="3">
        <v>21</v>
      </c>
      <c r="BB54" s="3">
        <v>0</v>
      </c>
      <c r="BC54" s="20">
        <v>0</v>
      </c>
      <c r="BD54" s="117">
        <v>20.3</v>
      </c>
      <c r="BE54" s="3">
        <v>10</v>
      </c>
      <c r="BF54" s="3">
        <v>14.6</v>
      </c>
      <c r="BG54" s="3">
        <v>19.600000000000001</v>
      </c>
      <c r="BH54" s="3">
        <v>21.6</v>
      </c>
      <c r="BI54" s="3">
        <v>22.6</v>
      </c>
      <c r="BJ54" s="3">
        <v>20.6</v>
      </c>
      <c r="BK54" s="3">
        <v>25</v>
      </c>
      <c r="BL54" s="3">
        <v>24</v>
      </c>
      <c r="BM54" s="3">
        <v>24</v>
      </c>
      <c r="BN54" s="3">
        <v>21</v>
      </c>
      <c r="BO54" s="3">
        <v>0</v>
      </c>
      <c r="BP54" s="20">
        <v>0</v>
      </c>
      <c r="BQ54" s="65">
        <v>18.899999999999999</v>
      </c>
      <c r="BR54" s="3">
        <v>17</v>
      </c>
      <c r="BS54" s="3">
        <v>18</v>
      </c>
      <c r="BT54" s="3">
        <v>17</v>
      </c>
      <c r="BU54" s="3">
        <v>19</v>
      </c>
      <c r="BV54" s="3">
        <v>19</v>
      </c>
      <c r="BW54" s="3">
        <v>15</v>
      </c>
      <c r="BX54" s="3">
        <v>18</v>
      </c>
      <c r="BY54" s="3">
        <v>15</v>
      </c>
      <c r="BZ54" s="3">
        <v>14</v>
      </c>
      <c r="CA54" s="3">
        <v>15</v>
      </c>
      <c r="CB54" s="3">
        <v>14</v>
      </c>
      <c r="CC54" s="3">
        <v>8</v>
      </c>
      <c r="CD54" s="16">
        <v>24.810000000000002</v>
      </c>
      <c r="CE54" s="3">
        <v>0</v>
      </c>
      <c r="CF54" s="3">
        <v>15</v>
      </c>
      <c r="CG54" s="3">
        <v>18</v>
      </c>
      <c r="CH54" s="3">
        <v>21</v>
      </c>
      <c r="CI54" s="3">
        <v>20</v>
      </c>
      <c r="CJ54" s="3">
        <v>28</v>
      </c>
      <c r="CK54" s="3">
        <v>24</v>
      </c>
      <c r="CL54" s="66">
        <v>30.11</v>
      </c>
      <c r="CM54" s="66">
        <v>30.67</v>
      </c>
      <c r="CN54" s="66">
        <v>29.32</v>
      </c>
      <c r="CO54" s="3">
        <v>21</v>
      </c>
      <c r="CP54" s="3">
        <v>11</v>
      </c>
      <c r="CQ54" s="89"/>
      <c r="CR54" s="87"/>
      <c r="CS54" s="87"/>
      <c r="CT54" s="87"/>
      <c r="CU54" s="87"/>
      <c r="CV54" s="87"/>
      <c r="CW54" s="87"/>
      <c r="CX54" s="87"/>
      <c r="CY54" s="87"/>
      <c r="CZ54" s="87"/>
      <c r="DA54" s="88"/>
      <c r="DB54" s="88"/>
      <c r="DC54" s="88"/>
      <c r="DD54" s="89"/>
      <c r="DE54" s="87"/>
      <c r="DF54" s="87"/>
      <c r="DG54" s="87"/>
      <c r="DH54" s="87"/>
      <c r="DI54" s="87"/>
      <c r="DJ54" s="87"/>
      <c r="DK54" s="87"/>
      <c r="DL54" s="87"/>
      <c r="DM54" s="87"/>
      <c r="DN54" s="88"/>
      <c r="DO54" s="88"/>
      <c r="DP54" s="88"/>
      <c r="DQ54" s="89"/>
      <c r="DR54" s="87"/>
      <c r="DS54" s="87"/>
      <c r="DT54" s="87"/>
      <c r="DU54" s="87"/>
      <c r="DV54" s="87"/>
      <c r="DW54" s="87"/>
      <c r="DX54" s="87"/>
      <c r="DY54" s="87"/>
      <c r="DZ54" s="87"/>
      <c r="EA54" s="88"/>
      <c r="EB54" s="88"/>
      <c r="EC54" s="88"/>
      <c r="ED54" s="89"/>
      <c r="EE54" s="87"/>
      <c r="EF54" s="87"/>
      <c r="EG54" s="87"/>
      <c r="EH54" s="87"/>
      <c r="EI54" s="87"/>
      <c r="EJ54" s="87"/>
      <c r="EK54" s="87"/>
      <c r="EL54" s="87"/>
      <c r="EM54" s="87"/>
      <c r="EN54" s="88"/>
      <c r="EO54" s="88"/>
      <c r="EP54" s="88"/>
      <c r="EQ54" s="89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9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102"/>
      <c r="FR54" s="102"/>
      <c r="GA54" s="34"/>
    </row>
    <row r="55" spans="1:183" x14ac:dyDescent="0.25">
      <c r="A55" s="6"/>
      <c r="B55" s="25" t="s">
        <v>369</v>
      </c>
      <c r="C55" s="1" t="s">
        <v>368</v>
      </c>
      <c r="D55" s="141">
        <f t="shared" si="15"/>
        <v>2</v>
      </c>
      <c r="E55" s="141">
        <v>2</v>
      </c>
      <c r="F55" s="141">
        <v>2</v>
      </c>
      <c r="G55" s="141">
        <v>2</v>
      </c>
      <c r="H55" s="141">
        <v>2</v>
      </c>
      <c r="P55" s="77"/>
      <c r="Q55" s="159">
        <f t="shared" si="10"/>
        <v>2.8</v>
      </c>
      <c r="R55" s="141">
        <v>2</v>
      </c>
      <c r="S55" s="141">
        <v>3</v>
      </c>
      <c r="T55" s="141">
        <v>2</v>
      </c>
      <c r="U55" s="141">
        <v>2</v>
      </c>
      <c r="V55" s="141">
        <v>1</v>
      </c>
      <c r="W55" s="141">
        <v>3</v>
      </c>
      <c r="X55" s="141">
        <v>1</v>
      </c>
      <c r="Y55" s="141">
        <v>3</v>
      </c>
      <c r="Z55" s="141">
        <v>2</v>
      </c>
      <c r="AA55" s="141">
        <v>4</v>
      </c>
      <c r="AB55" s="141">
        <v>2</v>
      </c>
      <c r="AC55" s="154">
        <v>3</v>
      </c>
      <c r="AD55" s="159">
        <v>1.3</v>
      </c>
      <c r="AE55" s="141">
        <v>1</v>
      </c>
      <c r="AF55" s="141">
        <v>0</v>
      </c>
      <c r="AG55" s="141">
        <v>0</v>
      </c>
      <c r="AH55" s="141">
        <v>2</v>
      </c>
      <c r="AI55" s="141">
        <v>1</v>
      </c>
      <c r="AJ55" s="141">
        <v>1</v>
      </c>
      <c r="AK55" s="141">
        <v>1</v>
      </c>
      <c r="AL55" s="141">
        <v>1</v>
      </c>
      <c r="AM55" s="141">
        <v>2</v>
      </c>
      <c r="AN55" s="141">
        <v>1</v>
      </c>
      <c r="AO55" s="141">
        <v>3</v>
      </c>
      <c r="AP55" s="154">
        <v>0</v>
      </c>
      <c r="AQ55" s="9">
        <f t="shared" si="13"/>
        <v>0.2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1</v>
      </c>
      <c r="BA55" s="3">
        <v>1</v>
      </c>
      <c r="BB55" s="3">
        <v>0</v>
      </c>
      <c r="BC55" s="20">
        <v>0</v>
      </c>
      <c r="BD55" s="117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20">
        <v>0</v>
      </c>
      <c r="BQ55" s="90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91"/>
      <c r="CE55" s="87"/>
      <c r="CF55" s="87"/>
      <c r="CG55" s="87"/>
      <c r="CH55" s="87"/>
      <c r="CI55" s="87"/>
      <c r="CJ55" s="87"/>
      <c r="CK55" s="87"/>
      <c r="CL55" s="92"/>
      <c r="CM55" s="92"/>
      <c r="CN55" s="92"/>
      <c r="CO55" s="87"/>
      <c r="CP55" s="87"/>
      <c r="CQ55" s="89"/>
      <c r="CR55" s="87"/>
      <c r="CS55" s="87"/>
      <c r="CT55" s="87"/>
      <c r="CU55" s="87"/>
      <c r="CV55" s="87"/>
      <c r="CW55" s="87"/>
      <c r="CX55" s="87"/>
      <c r="CY55" s="87"/>
      <c r="CZ55" s="87"/>
      <c r="DA55" s="88"/>
      <c r="DB55" s="88"/>
      <c r="DC55" s="88"/>
      <c r="DD55" s="89"/>
      <c r="DE55" s="87"/>
      <c r="DF55" s="87"/>
      <c r="DG55" s="87"/>
      <c r="DH55" s="87"/>
      <c r="DI55" s="87"/>
      <c r="DJ55" s="87"/>
      <c r="DK55" s="87"/>
      <c r="DL55" s="87"/>
      <c r="DM55" s="87"/>
      <c r="DN55" s="88"/>
      <c r="DO55" s="88"/>
      <c r="DP55" s="88"/>
      <c r="DQ55" s="89"/>
      <c r="DR55" s="87"/>
      <c r="DS55" s="87"/>
      <c r="DT55" s="87"/>
      <c r="DU55" s="87"/>
      <c r="DV55" s="87"/>
      <c r="DW55" s="87"/>
      <c r="DX55" s="87"/>
      <c r="DY55" s="87"/>
      <c r="DZ55" s="87"/>
      <c r="EA55" s="88"/>
      <c r="EB55" s="88"/>
      <c r="EC55" s="88"/>
      <c r="ED55" s="89"/>
      <c r="EE55" s="87"/>
      <c r="EF55" s="87"/>
      <c r="EG55" s="87"/>
      <c r="EH55" s="87"/>
      <c r="EI55" s="87"/>
      <c r="EJ55" s="87"/>
      <c r="EK55" s="87"/>
      <c r="EL55" s="87"/>
      <c r="EM55" s="87"/>
      <c r="EN55" s="88"/>
      <c r="EO55" s="88"/>
      <c r="EP55" s="88"/>
      <c r="EQ55" s="89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9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102"/>
      <c r="FR55" s="102"/>
      <c r="GA55" s="34"/>
    </row>
    <row r="56" spans="1:183" x14ac:dyDescent="0.25">
      <c r="A56" s="11" t="s">
        <v>247</v>
      </c>
      <c r="B56" s="68" t="s">
        <v>55</v>
      </c>
      <c r="C56" s="2" t="s">
        <v>1</v>
      </c>
      <c r="D56" s="87"/>
      <c r="E56" s="87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6"/>
      <c r="Q56" s="89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90"/>
      <c r="AD56" s="89"/>
      <c r="AE56" s="87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6"/>
      <c r="AQ56" s="89"/>
      <c r="AR56" s="87"/>
      <c r="AS56" s="87"/>
      <c r="AT56" s="87"/>
      <c r="AU56" s="87"/>
      <c r="AV56" s="87"/>
      <c r="AW56" s="87"/>
      <c r="AX56" s="87"/>
      <c r="AY56" s="95"/>
      <c r="AZ56" s="95"/>
      <c r="BA56" s="95"/>
      <c r="BB56" s="95"/>
      <c r="BC56" s="96"/>
      <c r="BD56" s="91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90"/>
      <c r="BQ56" s="90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91"/>
      <c r="CE56" s="87"/>
      <c r="CF56" s="87"/>
      <c r="CG56" s="87"/>
      <c r="CH56" s="87"/>
      <c r="CI56" s="87"/>
      <c r="CJ56" s="87"/>
      <c r="CK56" s="87"/>
      <c r="CL56" s="92"/>
      <c r="CM56" s="92"/>
      <c r="CN56" s="92"/>
      <c r="CO56" s="87"/>
      <c r="CP56" s="87"/>
      <c r="CQ56" s="89"/>
      <c r="CR56" s="87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89"/>
      <c r="DE56" s="87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6"/>
      <c r="DQ56" s="89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9">
        <f t="shared" si="16"/>
        <v>0.4</v>
      </c>
      <c r="EE56" s="3">
        <v>4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9">
        <f t="shared" si="18"/>
        <v>12.6</v>
      </c>
      <c r="ER56" s="3">
        <v>12</v>
      </c>
      <c r="ES56" s="3">
        <v>12</v>
      </c>
      <c r="ET56" s="3">
        <v>13</v>
      </c>
      <c r="EU56" s="3">
        <v>16</v>
      </c>
      <c r="EV56" s="3">
        <v>11</v>
      </c>
      <c r="EW56" s="3">
        <v>14</v>
      </c>
      <c r="EX56" s="3">
        <v>14</v>
      </c>
      <c r="EY56" s="3">
        <v>13</v>
      </c>
      <c r="EZ56" s="3">
        <v>10</v>
      </c>
      <c r="FA56" s="3">
        <v>11</v>
      </c>
      <c r="FB56" s="3">
        <v>0</v>
      </c>
      <c r="FC56" s="3">
        <v>0</v>
      </c>
      <c r="FD56" s="69">
        <f t="shared" si="9"/>
        <v>9.9</v>
      </c>
      <c r="FE56" s="3">
        <v>0</v>
      </c>
      <c r="FF56" s="3">
        <v>0</v>
      </c>
      <c r="FG56" s="3">
        <v>0</v>
      </c>
      <c r="FH56" s="3">
        <v>9</v>
      </c>
      <c r="FI56" s="3">
        <v>7</v>
      </c>
      <c r="FJ56" s="3">
        <v>9</v>
      </c>
      <c r="FK56" s="3">
        <v>12</v>
      </c>
      <c r="FL56" s="3">
        <v>18</v>
      </c>
      <c r="FM56" s="3">
        <v>18</v>
      </c>
      <c r="FN56" s="3">
        <v>12</v>
      </c>
      <c r="FO56" s="3">
        <v>11</v>
      </c>
      <c r="FP56" s="3">
        <v>3</v>
      </c>
      <c r="FQ56" s="102"/>
      <c r="FR56" s="102"/>
      <c r="GA56" s="34"/>
    </row>
    <row r="57" spans="1:183" x14ac:dyDescent="0.25">
      <c r="A57" s="6"/>
      <c r="B57" s="26" t="s">
        <v>380</v>
      </c>
      <c r="C57" s="136" t="s">
        <v>379</v>
      </c>
      <c r="D57" s="142">
        <f>SUM(E57:P57)/$E$2</f>
        <v>0</v>
      </c>
      <c r="E57" s="142">
        <v>0</v>
      </c>
      <c r="F57" s="142">
        <v>0</v>
      </c>
      <c r="G57" s="142">
        <v>0</v>
      </c>
      <c r="H57" s="142">
        <v>0</v>
      </c>
      <c r="I57" s="136"/>
      <c r="J57" s="136"/>
      <c r="K57" s="136"/>
      <c r="L57" s="136"/>
      <c r="M57" s="136"/>
      <c r="N57" s="136"/>
      <c r="O57" s="136"/>
      <c r="P57" s="181"/>
      <c r="Q57" s="160">
        <f>SUM(R57:AC57)/10</f>
        <v>0</v>
      </c>
      <c r="R57" s="142">
        <v>0</v>
      </c>
      <c r="S57" s="142">
        <v>0</v>
      </c>
      <c r="T57" s="142">
        <v>0</v>
      </c>
      <c r="U57" s="142">
        <v>0</v>
      </c>
      <c r="V57" s="142">
        <v>0</v>
      </c>
      <c r="W57" s="142">
        <v>0</v>
      </c>
      <c r="X57" s="142">
        <v>0</v>
      </c>
      <c r="Y57" s="142">
        <v>0</v>
      </c>
      <c r="Z57" s="142">
        <v>0</v>
      </c>
      <c r="AA57" s="142">
        <v>0</v>
      </c>
      <c r="AB57" s="142">
        <v>0</v>
      </c>
      <c r="AC57" s="155">
        <v>0</v>
      </c>
      <c r="AD57" s="160">
        <v>0</v>
      </c>
      <c r="AE57" s="142">
        <v>0</v>
      </c>
      <c r="AF57" s="142">
        <v>0</v>
      </c>
      <c r="AG57" s="142">
        <v>0</v>
      </c>
      <c r="AH57" s="142">
        <v>0</v>
      </c>
      <c r="AI57" s="142">
        <v>0</v>
      </c>
      <c r="AJ57" s="142">
        <v>0</v>
      </c>
      <c r="AK57" s="142">
        <v>0</v>
      </c>
      <c r="AL57" s="142">
        <v>0</v>
      </c>
      <c r="AM57" s="142">
        <v>0</v>
      </c>
      <c r="AN57" s="142">
        <v>0</v>
      </c>
      <c r="AO57" s="142">
        <v>0</v>
      </c>
      <c r="AP57" s="155">
        <v>0</v>
      </c>
      <c r="AQ57" s="10">
        <f t="shared" ref="AQ57:AQ58" si="19">SUM(AR57:BC57)/10</f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21">
        <v>0</v>
      </c>
      <c r="BD57" s="118">
        <v>0.1</v>
      </c>
      <c r="BE57" s="15">
        <v>0</v>
      </c>
      <c r="BF57" s="15">
        <v>0</v>
      </c>
      <c r="BG57" s="15">
        <v>1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21">
        <v>0</v>
      </c>
      <c r="BQ57" s="110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11"/>
      <c r="CE57" s="105"/>
      <c r="CF57" s="105"/>
      <c r="CG57" s="105"/>
      <c r="CH57" s="105"/>
      <c r="CI57" s="105"/>
      <c r="CJ57" s="105"/>
      <c r="CK57" s="105"/>
      <c r="CL57" s="166"/>
      <c r="CM57" s="166"/>
      <c r="CN57" s="166"/>
      <c r="CO57" s="105"/>
      <c r="CP57" s="105"/>
      <c r="CQ57" s="104"/>
      <c r="CR57" s="105"/>
      <c r="CS57" s="167"/>
      <c r="CT57" s="167"/>
      <c r="CU57" s="167"/>
      <c r="CV57" s="167"/>
      <c r="CW57" s="167"/>
      <c r="CX57" s="167"/>
      <c r="CY57" s="167"/>
      <c r="CZ57" s="167"/>
      <c r="DA57" s="167"/>
      <c r="DB57" s="167"/>
      <c r="DC57" s="167"/>
      <c r="DD57" s="104"/>
      <c r="DE57" s="105"/>
      <c r="DF57" s="167"/>
      <c r="DG57" s="167"/>
      <c r="DH57" s="167"/>
      <c r="DI57" s="167"/>
      <c r="DJ57" s="167"/>
      <c r="DK57" s="167"/>
      <c r="DL57" s="167"/>
      <c r="DM57" s="167"/>
      <c r="DN57" s="167"/>
      <c r="DO57" s="167"/>
      <c r="DP57" s="168"/>
      <c r="DQ57" s="104"/>
      <c r="DR57" s="105"/>
      <c r="DS57" s="105"/>
      <c r="DT57" s="105"/>
      <c r="DU57" s="105"/>
      <c r="DV57" s="105"/>
      <c r="DW57" s="105"/>
      <c r="DX57" s="105"/>
      <c r="DY57" s="105"/>
      <c r="DZ57" s="105"/>
      <c r="EA57" s="105"/>
      <c r="EB57" s="105"/>
      <c r="EC57" s="105"/>
      <c r="ED57" s="104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4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6"/>
      <c r="FE57" s="105"/>
      <c r="FF57" s="105"/>
      <c r="FG57" s="105"/>
      <c r="FH57" s="105"/>
      <c r="FI57" s="105"/>
      <c r="FJ57" s="105"/>
      <c r="FK57" s="105"/>
      <c r="FL57" s="105"/>
      <c r="FM57" s="105"/>
      <c r="FN57" s="105"/>
      <c r="FO57" s="105"/>
      <c r="FP57" s="105"/>
      <c r="FQ57" s="103"/>
      <c r="FR57" s="103"/>
      <c r="GA57" s="34"/>
    </row>
    <row r="58" spans="1:183" x14ac:dyDescent="0.25">
      <c r="A58" s="6"/>
      <c r="B58" s="144" t="s">
        <v>382</v>
      </c>
      <c r="C58" s="2" t="s">
        <v>381</v>
      </c>
      <c r="D58" s="141">
        <f>SUM(E58:P58)/$E$2</f>
        <v>0</v>
      </c>
      <c r="E58" s="141">
        <v>0</v>
      </c>
      <c r="F58" s="141">
        <v>0</v>
      </c>
      <c r="G58" s="141">
        <v>0</v>
      </c>
      <c r="H58" s="141">
        <v>0</v>
      </c>
      <c r="I58" s="2"/>
      <c r="J58" s="2"/>
      <c r="K58" s="2"/>
      <c r="L58" s="2"/>
      <c r="M58" s="2"/>
      <c r="N58" s="2"/>
      <c r="O58" s="2"/>
      <c r="P58" s="180"/>
      <c r="Q58" s="159">
        <f>SUM(R58:AC58)/10</f>
        <v>0</v>
      </c>
      <c r="R58" s="141">
        <v>0</v>
      </c>
      <c r="S58" s="141">
        <v>0</v>
      </c>
      <c r="T58" s="141">
        <v>0</v>
      </c>
      <c r="U58" s="141">
        <v>0</v>
      </c>
      <c r="V58" s="141">
        <v>0</v>
      </c>
      <c r="W58" s="141">
        <v>0</v>
      </c>
      <c r="X58" s="141">
        <v>0</v>
      </c>
      <c r="Y58" s="141">
        <v>0</v>
      </c>
      <c r="Z58" s="141">
        <v>0</v>
      </c>
      <c r="AA58" s="141">
        <v>0</v>
      </c>
      <c r="AB58" s="141">
        <v>0</v>
      </c>
      <c r="AC58" s="154">
        <v>0</v>
      </c>
      <c r="AD58" s="159">
        <v>0</v>
      </c>
      <c r="AE58" s="141">
        <v>0</v>
      </c>
      <c r="AF58" s="141">
        <v>0</v>
      </c>
      <c r="AG58" s="141">
        <v>0</v>
      </c>
      <c r="AH58" s="141">
        <v>0</v>
      </c>
      <c r="AI58" s="141">
        <v>0</v>
      </c>
      <c r="AJ58" s="141">
        <v>0</v>
      </c>
      <c r="AK58" s="141">
        <v>0</v>
      </c>
      <c r="AL58" s="141">
        <v>0</v>
      </c>
      <c r="AM58" s="141">
        <v>0</v>
      </c>
      <c r="AN58" s="141">
        <v>0</v>
      </c>
      <c r="AO58" s="141">
        <v>0</v>
      </c>
      <c r="AP58" s="141">
        <v>0</v>
      </c>
      <c r="AQ58" s="9">
        <f t="shared" si="19"/>
        <v>7.1</v>
      </c>
      <c r="AR58" s="3">
        <v>6</v>
      </c>
      <c r="AS58" s="3">
        <v>8</v>
      </c>
      <c r="AT58" s="3">
        <v>7</v>
      </c>
      <c r="AU58" s="3">
        <v>7</v>
      </c>
      <c r="AV58" s="3">
        <v>7</v>
      </c>
      <c r="AW58" s="3">
        <v>8</v>
      </c>
      <c r="AX58" s="3">
        <v>7</v>
      </c>
      <c r="AY58" s="3">
        <v>7</v>
      </c>
      <c r="AZ58" s="3">
        <v>7</v>
      </c>
      <c r="BA58" s="3">
        <v>7</v>
      </c>
      <c r="BB58" s="3">
        <v>0</v>
      </c>
      <c r="BC58" s="3">
        <v>0</v>
      </c>
      <c r="BD58" s="117">
        <v>1.6</v>
      </c>
      <c r="BE58" s="3"/>
      <c r="BF58" s="3"/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4</v>
      </c>
      <c r="BM58" s="3">
        <v>5</v>
      </c>
      <c r="BN58" s="3">
        <v>7</v>
      </c>
      <c r="BO58" s="3">
        <v>0</v>
      </c>
      <c r="BP58" s="20">
        <v>0</v>
      </c>
      <c r="BQ58" s="90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91"/>
      <c r="CE58" s="87"/>
      <c r="CF58" s="87"/>
      <c r="CG58" s="87"/>
      <c r="CH58" s="87"/>
      <c r="CI58" s="87"/>
      <c r="CJ58" s="87"/>
      <c r="CK58" s="87"/>
      <c r="CL58" s="92"/>
      <c r="CM58" s="92"/>
      <c r="CN58" s="92"/>
      <c r="CO58" s="87"/>
      <c r="CP58" s="87"/>
      <c r="CQ58" s="89"/>
      <c r="CR58" s="87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89"/>
      <c r="DE58" s="87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6"/>
      <c r="DQ58" s="89"/>
      <c r="DR58" s="87"/>
      <c r="DS58" s="87"/>
      <c r="DT58" s="87"/>
      <c r="DU58" s="87"/>
      <c r="DV58" s="87"/>
      <c r="DW58" s="87"/>
      <c r="DX58" s="87"/>
      <c r="DY58" s="87"/>
      <c r="DZ58" s="87"/>
      <c r="EA58" s="87"/>
      <c r="EB58" s="87"/>
      <c r="EC58" s="87"/>
      <c r="ED58" s="89"/>
      <c r="EE58" s="87"/>
      <c r="EF58" s="87"/>
      <c r="EG58" s="87"/>
      <c r="EH58" s="87"/>
      <c r="EI58" s="87"/>
      <c r="EJ58" s="87"/>
      <c r="EK58" s="87"/>
      <c r="EL58" s="87"/>
      <c r="EM58" s="87"/>
      <c r="EN58" s="87"/>
      <c r="EO58" s="87"/>
      <c r="EP58" s="87"/>
      <c r="EQ58" s="89"/>
      <c r="ER58" s="87"/>
      <c r="ES58" s="87"/>
      <c r="ET58" s="87"/>
      <c r="EU58" s="87"/>
      <c r="EV58" s="87"/>
      <c r="EW58" s="87"/>
      <c r="EX58" s="87"/>
      <c r="EY58" s="87"/>
      <c r="EZ58" s="87"/>
      <c r="FA58" s="87"/>
      <c r="FB58" s="87"/>
      <c r="FC58" s="87"/>
      <c r="FD58" s="97"/>
      <c r="FE58" s="87"/>
      <c r="FF58" s="87"/>
      <c r="FG58" s="87"/>
      <c r="FH58" s="87"/>
      <c r="FI58" s="87"/>
      <c r="FJ58" s="87"/>
      <c r="FK58" s="87"/>
      <c r="FL58" s="87"/>
      <c r="FM58" s="87"/>
      <c r="FN58" s="87"/>
      <c r="FO58" s="87"/>
      <c r="FP58" s="87"/>
      <c r="FQ58" s="102"/>
      <c r="FR58" s="102"/>
      <c r="GA58" s="34"/>
    </row>
    <row r="59" spans="1:183" x14ac:dyDescent="0.25">
      <c r="A59" s="5" t="s">
        <v>293</v>
      </c>
      <c r="B59" s="25" t="s">
        <v>96</v>
      </c>
      <c r="C59" s="1" t="s">
        <v>95</v>
      </c>
      <c r="D59" s="87"/>
      <c r="E59" s="87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6"/>
      <c r="Q59" s="89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90"/>
      <c r="AD59" s="89"/>
      <c r="AE59" s="87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9"/>
      <c r="AR59" s="87"/>
      <c r="AS59" s="87"/>
      <c r="AT59" s="87"/>
      <c r="AU59" s="87"/>
      <c r="AV59" s="87"/>
      <c r="AW59" s="87"/>
      <c r="AX59" s="87"/>
      <c r="AY59" s="88"/>
      <c r="AZ59" s="88"/>
      <c r="BA59" s="88"/>
      <c r="BB59" s="88"/>
      <c r="BC59" s="109"/>
      <c r="BD59" s="91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90"/>
      <c r="BQ59" s="90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91"/>
      <c r="CE59" s="87"/>
      <c r="CF59" s="87"/>
      <c r="CG59" s="87"/>
      <c r="CH59" s="87"/>
      <c r="CI59" s="87"/>
      <c r="CJ59" s="87"/>
      <c r="CK59" s="87"/>
      <c r="CL59" s="92"/>
      <c r="CM59" s="92"/>
      <c r="CN59" s="92"/>
      <c r="CO59" s="87"/>
      <c r="CP59" s="87"/>
      <c r="CQ59" s="89"/>
      <c r="CR59" s="87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9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20"/>
      <c r="DQ59" s="9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9">
        <f t="shared" si="16"/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9">
        <f t="shared" si="18"/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69">
        <f t="shared" si="9"/>
        <v>1.7</v>
      </c>
      <c r="FE59" s="3"/>
      <c r="FF59" s="3"/>
      <c r="FG59" s="3">
        <v>4</v>
      </c>
      <c r="FH59" s="3">
        <v>4</v>
      </c>
      <c r="FI59" s="3">
        <v>5</v>
      </c>
      <c r="FJ59" s="3">
        <v>2</v>
      </c>
      <c r="FK59" s="3">
        <v>2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102"/>
      <c r="FR59" s="102"/>
      <c r="GA59" s="34"/>
    </row>
    <row r="60" spans="1:183" x14ac:dyDescent="0.25">
      <c r="A60" s="6" t="s">
        <v>176</v>
      </c>
      <c r="B60" s="25" t="s">
        <v>179</v>
      </c>
      <c r="C60" s="1" t="s">
        <v>178</v>
      </c>
      <c r="D60" s="141">
        <f t="shared" ref="D60:D91" si="20">SUM(E60:P60)/$E$2</f>
        <v>5.25</v>
      </c>
      <c r="E60" s="141">
        <v>0</v>
      </c>
      <c r="F60" s="141">
        <v>7</v>
      </c>
      <c r="G60" s="141">
        <v>8</v>
      </c>
      <c r="H60" s="141">
        <v>6</v>
      </c>
      <c r="P60" s="77"/>
      <c r="Q60" s="159">
        <f t="shared" ref="Q60:Q123" si="21">SUM(R60:AC60)/10</f>
        <v>6.7</v>
      </c>
      <c r="R60" s="141">
        <v>2</v>
      </c>
      <c r="S60" s="141">
        <v>5</v>
      </c>
      <c r="T60" s="141">
        <v>7</v>
      </c>
      <c r="U60" s="141">
        <v>5</v>
      </c>
      <c r="V60" s="141">
        <v>6</v>
      </c>
      <c r="W60" s="141">
        <v>9</v>
      </c>
      <c r="X60" s="141">
        <v>8</v>
      </c>
      <c r="Y60" s="141">
        <v>9</v>
      </c>
      <c r="Z60" s="141">
        <v>6</v>
      </c>
      <c r="AA60" s="141">
        <v>6</v>
      </c>
      <c r="AB60" s="141">
        <v>4</v>
      </c>
      <c r="AC60" s="154">
        <v>0</v>
      </c>
      <c r="AD60" s="159">
        <v>4.0999999999999996</v>
      </c>
      <c r="AE60" s="141">
        <v>0</v>
      </c>
      <c r="AF60" s="141">
        <v>0</v>
      </c>
      <c r="AG60" s="141">
        <v>1</v>
      </c>
      <c r="AH60" s="141">
        <v>0</v>
      </c>
      <c r="AI60" s="141">
        <v>0</v>
      </c>
      <c r="AJ60" s="141">
        <v>0</v>
      </c>
      <c r="AK60" s="141">
        <v>4</v>
      </c>
      <c r="AL60" s="141">
        <v>9</v>
      </c>
      <c r="AM60" s="141">
        <v>9</v>
      </c>
      <c r="AN60" s="141">
        <v>7</v>
      </c>
      <c r="AO60" s="141">
        <v>8</v>
      </c>
      <c r="AP60" s="141">
        <v>3</v>
      </c>
      <c r="AQ60" s="9">
        <f t="shared" ref="AQ60:AQ130" si="22">SUM(AR60:BC60)/10</f>
        <v>1.9</v>
      </c>
      <c r="AR60" s="3">
        <v>4</v>
      </c>
      <c r="AS60" s="3">
        <v>3</v>
      </c>
      <c r="AT60" s="3">
        <v>3</v>
      </c>
      <c r="AU60" s="3">
        <v>3</v>
      </c>
      <c r="AV60" s="3">
        <v>3</v>
      </c>
      <c r="AW60" s="3">
        <v>0</v>
      </c>
      <c r="AX60" s="3">
        <v>1</v>
      </c>
      <c r="AY60" s="3">
        <v>1</v>
      </c>
      <c r="AZ60" s="3">
        <v>1</v>
      </c>
      <c r="BA60" s="3">
        <v>0</v>
      </c>
      <c r="BB60" s="3">
        <v>0</v>
      </c>
      <c r="BC60" s="3">
        <v>0</v>
      </c>
      <c r="BD60" s="117">
        <v>5.6</v>
      </c>
      <c r="BE60" s="3">
        <v>4</v>
      </c>
      <c r="BF60" s="3">
        <v>12</v>
      </c>
      <c r="BG60" s="3">
        <v>11</v>
      </c>
      <c r="BH60" s="3">
        <v>9</v>
      </c>
      <c r="BI60" s="3">
        <v>0</v>
      </c>
      <c r="BJ60" s="3">
        <v>1</v>
      </c>
      <c r="BK60" s="3">
        <v>1</v>
      </c>
      <c r="BL60" s="3">
        <v>4</v>
      </c>
      <c r="BM60" s="3">
        <v>3</v>
      </c>
      <c r="BN60" s="3">
        <v>3</v>
      </c>
      <c r="BO60" s="3">
        <v>5</v>
      </c>
      <c r="BP60" s="20">
        <v>3</v>
      </c>
      <c r="BQ60" s="65">
        <v>14.5</v>
      </c>
      <c r="BR60" s="3">
        <v>2</v>
      </c>
      <c r="BS60" s="3">
        <v>15</v>
      </c>
      <c r="BT60" s="3">
        <v>11</v>
      </c>
      <c r="BU60" s="3">
        <v>9</v>
      </c>
      <c r="BV60" s="3">
        <v>10</v>
      </c>
      <c r="BW60" s="3">
        <v>12</v>
      </c>
      <c r="BX60" s="3">
        <v>17</v>
      </c>
      <c r="BY60" s="3">
        <v>22</v>
      </c>
      <c r="BZ60" s="3">
        <v>17</v>
      </c>
      <c r="CA60" s="3">
        <v>13</v>
      </c>
      <c r="CB60" s="3">
        <v>12</v>
      </c>
      <c r="CC60" s="3">
        <v>5</v>
      </c>
      <c r="CD60" s="16">
        <v>19.7</v>
      </c>
      <c r="CE60" s="3">
        <v>3</v>
      </c>
      <c r="CF60" s="3">
        <v>12</v>
      </c>
      <c r="CG60" s="3">
        <v>12</v>
      </c>
      <c r="CH60" s="3">
        <v>12</v>
      </c>
      <c r="CI60" s="3">
        <v>22</v>
      </c>
      <c r="CJ60" s="3">
        <v>24</v>
      </c>
      <c r="CK60" s="3">
        <v>23</v>
      </c>
      <c r="CL60" s="66">
        <v>20</v>
      </c>
      <c r="CM60" s="66">
        <v>19</v>
      </c>
      <c r="CN60" s="66">
        <v>21</v>
      </c>
      <c r="CO60" s="3">
        <v>23</v>
      </c>
      <c r="CP60" s="3">
        <v>6</v>
      </c>
      <c r="CQ60" s="9">
        <v>23.9</v>
      </c>
      <c r="CR60" s="3">
        <v>8</v>
      </c>
      <c r="CS60" s="3">
        <v>26</v>
      </c>
      <c r="CT60" s="3">
        <v>30</v>
      </c>
      <c r="CU60" s="3">
        <v>25</v>
      </c>
      <c r="CV60" s="3">
        <v>21</v>
      </c>
      <c r="CW60" s="3">
        <v>20</v>
      </c>
      <c r="CX60" s="3">
        <v>24</v>
      </c>
      <c r="CY60" s="3">
        <v>20</v>
      </c>
      <c r="CZ60" s="3">
        <v>19</v>
      </c>
      <c r="DA60" s="3">
        <v>21</v>
      </c>
      <c r="DB60" s="3">
        <v>20</v>
      </c>
      <c r="DC60" s="3">
        <v>5</v>
      </c>
      <c r="DD60" s="9">
        <v>14.4</v>
      </c>
      <c r="DE60" s="3">
        <v>3</v>
      </c>
      <c r="DF60" s="3">
        <v>11</v>
      </c>
      <c r="DG60" s="3">
        <v>9</v>
      </c>
      <c r="DH60" s="3">
        <v>9</v>
      </c>
      <c r="DI60" s="3">
        <v>8</v>
      </c>
      <c r="DJ60" s="3">
        <v>12</v>
      </c>
      <c r="DK60" s="3">
        <v>19</v>
      </c>
      <c r="DL60" s="3">
        <v>18</v>
      </c>
      <c r="DM60" s="3">
        <v>19</v>
      </c>
      <c r="DN60" s="3">
        <v>21</v>
      </c>
      <c r="DO60" s="3">
        <v>12</v>
      </c>
      <c r="DP60" s="20">
        <v>3</v>
      </c>
      <c r="DQ60" s="9">
        <v>15.9</v>
      </c>
      <c r="DR60" s="3">
        <v>3</v>
      </c>
      <c r="DS60" s="3">
        <v>17</v>
      </c>
      <c r="DT60" s="3">
        <v>15</v>
      </c>
      <c r="DU60" s="3">
        <v>17</v>
      </c>
      <c r="DV60" s="3">
        <v>3</v>
      </c>
      <c r="DW60" s="3">
        <v>19</v>
      </c>
      <c r="DX60" s="3">
        <v>22</v>
      </c>
      <c r="DY60" s="3">
        <v>19</v>
      </c>
      <c r="DZ60" s="3">
        <v>18</v>
      </c>
      <c r="EA60" s="3">
        <v>12</v>
      </c>
      <c r="EB60" s="3">
        <v>10</v>
      </c>
      <c r="EC60" s="3">
        <v>4</v>
      </c>
      <c r="ED60" s="9">
        <f t="shared" si="16"/>
        <v>12.2</v>
      </c>
      <c r="EE60" s="3">
        <v>0</v>
      </c>
      <c r="EF60" s="3">
        <v>4</v>
      </c>
      <c r="EG60" s="3">
        <v>9</v>
      </c>
      <c r="EH60" s="3">
        <v>14</v>
      </c>
      <c r="EI60" s="3">
        <v>10</v>
      </c>
      <c r="EJ60" s="3">
        <v>12</v>
      </c>
      <c r="EK60" s="3">
        <v>22</v>
      </c>
      <c r="EL60" s="3">
        <v>18</v>
      </c>
      <c r="EM60" s="3">
        <v>11</v>
      </c>
      <c r="EN60" s="3">
        <v>9</v>
      </c>
      <c r="EO60" s="3">
        <v>9</v>
      </c>
      <c r="EP60" s="3">
        <v>4</v>
      </c>
      <c r="EQ60" s="89"/>
      <c r="ER60" s="87"/>
      <c r="ES60" s="87"/>
      <c r="ET60" s="87"/>
      <c r="EU60" s="87"/>
      <c r="EV60" s="87"/>
      <c r="EW60" s="87"/>
      <c r="EX60" s="87"/>
      <c r="EY60" s="87"/>
      <c r="EZ60" s="87"/>
      <c r="FA60" s="87"/>
      <c r="FB60" s="87"/>
      <c r="FC60" s="87"/>
      <c r="FD60" s="89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102"/>
      <c r="FR60" s="102"/>
      <c r="GA60" s="34"/>
    </row>
    <row r="61" spans="1:183" x14ac:dyDescent="0.25">
      <c r="A61" s="6" t="s">
        <v>160</v>
      </c>
      <c r="B61" s="25" t="s">
        <v>143</v>
      </c>
      <c r="C61" s="1" t="s">
        <v>140</v>
      </c>
      <c r="D61" s="141">
        <f t="shared" si="20"/>
        <v>43.5</v>
      </c>
      <c r="E61" s="141">
        <v>41</v>
      </c>
      <c r="F61" s="141">
        <v>43</v>
      </c>
      <c r="G61" s="141">
        <v>44</v>
      </c>
      <c r="H61" s="141">
        <v>46</v>
      </c>
      <c r="P61" s="77"/>
      <c r="Q61" s="159">
        <f t="shared" si="21"/>
        <v>44.3</v>
      </c>
      <c r="R61" s="141">
        <v>37</v>
      </c>
      <c r="S61" s="141">
        <v>38</v>
      </c>
      <c r="T61" s="141">
        <v>45</v>
      </c>
      <c r="U61" s="141">
        <v>43</v>
      </c>
      <c r="V61" s="141">
        <v>44</v>
      </c>
      <c r="W61" s="141">
        <v>44</v>
      </c>
      <c r="X61" s="141">
        <v>46</v>
      </c>
      <c r="Y61" s="141">
        <v>49</v>
      </c>
      <c r="Z61" s="141">
        <v>50</v>
      </c>
      <c r="AA61" s="141">
        <v>47</v>
      </c>
      <c r="AB61" s="141">
        <v>0</v>
      </c>
      <c r="AC61" s="154">
        <v>0</v>
      </c>
      <c r="AD61" s="159">
        <v>47.8</v>
      </c>
      <c r="AE61" s="141">
        <v>43</v>
      </c>
      <c r="AF61" s="141">
        <v>43</v>
      </c>
      <c r="AG61" s="141">
        <v>49</v>
      </c>
      <c r="AH61" s="141">
        <v>47</v>
      </c>
      <c r="AI61" s="141">
        <v>34</v>
      </c>
      <c r="AJ61" s="141">
        <v>50</v>
      </c>
      <c r="AK61" s="141">
        <v>55</v>
      </c>
      <c r="AL61" s="141">
        <v>57</v>
      </c>
      <c r="AM61" s="141">
        <v>54</v>
      </c>
      <c r="AN61" s="141">
        <v>43</v>
      </c>
      <c r="AO61" s="141">
        <v>3</v>
      </c>
      <c r="AP61" s="141">
        <v>0</v>
      </c>
      <c r="AQ61" s="9">
        <f t="shared" si="22"/>
        <v>49.487000000000002</v>
      </c>
      <c r="AR61" s="3">
        <v>52.87</v>
      </c>
      <c r="AS61" s="3">
        <v>37</v>
      </c>
      <c r="AT61" s="3">
        <v>36</v>
      </c>
      <c r="AU61" s="3">
        <v>43</v>
      </c>
      <c r="AV61" s="3">
        <v>48</v>
      </c>
      <c r="AW61" s="3">
        <v>54</v>
      </c>
      <c r="AX61" s="3">
        <v>56</v>
      </c>
      <c r="AY61" s="3">
        <v>56</v>
      </c>
      <c r="AZ61" s="3">
        <v>58</v>
      </c>
      <c r="BA61" s="3">
        <v>40</v>
      </c>
      <c r="BB61" s="3">
        <v>6</v>
      </c>
      <c r="BC61" s="3">
        <v>8</v>
      </c>
      <c r="BD61" s="117">
        <v>55.3</v>
      </c>
      <c r="BE61" s="3">
        <v>55</v>
      </c>
      <c r="BF61" s="3">
        <v>46</v>
      </c>
      <c r="BG61" s="3">
        <v>49</v>
      </c>
      <c r="BH61" s="3">
        <v>49</v>
      </c>
      <c r="BI61" s="3">
        <v>52</v>
      </c>
      <c r="BJ61" s="3">
        <v>51</v>
      </c>
      <c r="BK61" s="3">
        <v>54</v>
      </c>
      <c r="BL61" s="3">
        <v>57</v>
      </c>
      <c r="BM61" s="3">
        <v>61</v>
      </c>
      <c r="BN61" s="3">
        <v>51</v>
      </c>
      <c r="BO61" s="3">
        <v>15</v>
      </c>
      <c r="BP61" s="20">
        <v>13</v>
      </c>
      <c r="BQ61" s="65">
        <v>58.659999999999989</v>
      </c>
      <c r="BR61" s="3">
        <v>56</v>
      </c>
      <c r="BS61" s="3">
        <v>57</v>
      </c>
      <c r="BT61" s="3">
        <v>57</v>
      </c>
      <c r="BU61" s="3">
        <v>55</v>
      </c>
      <c r="BV61" s="3">
        <v>54</v>
      </c>
      <c r="BW61" s="3">
        <v>54</v>
      </c>
      <c r="BX61" s="3">
        <v>51.4</v>
      </c>
      <c r="BY61" s="3">
        <v>62.4</v>
      </c>
      <c r="BZ61" s="3">
        <v>61.4</v>
      </c>
      <c r="CA61" s="3">
        <v>61.4</v>
      </c>
      <c r="CB61" s="3">
        <v>11</v>
      </c>
      <c r="CC61" s="3">
        <v>6</v>
      </c>
      <c r="CD61" s="16">
        <v>46.717999999999996</v>
      </c>
      <c r="CE61" s="3">
        <v>46</v>
      </c>
      <c r="CF61" s="3">
        <v>41</v>
      </c>
      <c r="CG61" s="3">
        <v>44</v>
      </c>
      <c r="CH61" s="3">
        <v>54</v>
      </c>
      <c r="CI61" s="3">
        <v>46</v>
      </c>
      <c r="CJ61" s="3">
        <v>45</v>
      </c>
      <c r="CK61" s="3">
        <v>61</v>
      </c>
      <c r="CL61" s="66">
        <v>44.2</v>
      </c>
      <c r="CM61" s="66">
        <v>42.59</v>
      </c>
      <c r="CN61" s="66">
        <v>43.39</v>
      </c>
      <c r="CO61" s="3">
        <v>0</v>
      </c>
      <c r="CP61" s="3">
        <v>0</v>
      </c>
      <c r="CQ61" s="9">
        <v>62.3</v>
      </c>
      <c r="CR61" s="3">
        <v>57</v>
      </c>
      <c r="CS61" s="3">
        <v>63</v>
      </c>
      <c r="CT61" s="3">
        <v>83</v>
      </c>
      <c r="CU61" s="3">
        <v>58</v>
      </c>
      <c r="CV61" s="3">
        <v>58</v>
      </c>
      <c r="CW61" s="3">
        <v>67</v>
      </c>
      <c r="CX61" s="3">
        <v>56</v>
      </c>
      <c r="CY61" s="3">
        <v>55</v>
      </c>
      <c r="CZ61" s="3">
        <v>53</v>
      </c>
      <c r="DA61" s="3">
        <v>54</v>
      </c>
      <c r="DB61" s="3">
        <v>19</v>
      </c>
      <c r="DC61" s="3">
        <v>0</v>
      </c>
      <c r="DD61" s="9">
        <v>72.8</v>
      </c>
      <c r="DE61" s="3">
        <v>58</v>
      </c>
      <c r="DF61" s="3">
        <v>71</v>
      </c>
      <c r="DG61" s="3">
        <v>76</v>
      </c>
      <c r="DH61" s="3">
        <v>76</v>
      </c>
      <c r="DI61" s="3">
        <v>40</v>
      </c>
      <c r="DJ61" s="3">
        <v>79</v>
      </c>
      <c r="DK61" s="3">
        <v>77</v>
      </c>
      <c r="DL61" s="3">
        <v>83</v>
      </c>
      <c r="DM61" s="3">
        <v>71</v>
      </c>
      <c r="DN61" s="3">
        <v>67</v>
      </c>
      <c r="DO61" s="3">
        <v>21</v>
      </c>
      <c r="DP61" s="20">
        <v>9</v>
      </c>
      <c r="DQ61" s="9">
        <v>65</v>
      </c>
      <c r="DR61" s="3">
        <v>56</v>
      </c>
      <c r="DS61" s="3">
        <v>57</v>
      </c>
      <c r="DT61" s="3">
        <v>68</v>
      </c>
      <c r="DU61" s="3">
        <v>70</v>
      </c>
      <c r="DV61" s="3">
        <v>54</v>
      </c>
      <c r="DW61" s="3">
        <v>57</v>
      </c>
      <c r="DX61" s="3">
        <v>70</v>
      </c>
      <c r="DY61" s="3">
        <v>71</v>
      </c>
      <c r="DZ61" s="3">
        <v>65</v>
      </c>
      <c r="EA61" s="3">
        <v>51</v>
      </c>
      <c r="EB61" s="3">
        <v>20</v>
      </c>
      <c r="EC61" s="3">
        <v>11</v>
      </c>
      <c r="ED61" s="9">
        <f t="shared" si="16"/>
        <v>53.320000000000007</v>
      </c>
      <c r="EE61" s="3">
        <v>32</v>
      </c>
      <c r="EF61" s="3">
        <v>46</v>
      </c>
      <c r="EG61" s="3">
        <v>45</v>
      </c>
      <c r="EH61" s="3">
        <v>49</v>
      </c>
      <c r="EI61" s="3">
        <v>43</v>
      </c>
      <c r="EJ61" s="3">
        <v>51</v>
      </c>
      <c r="EK61" s="3">
        <v>65</v>
      </c>
      <c r="EL61" s="3">
        <v>67</v>
      </c>
      <c r="EM61" s="3">
        <v>67</v>
      </c>
      <c r="EN61" s="3">
        <v>61</v>
      </c>
      <c r="EO61" s="3">
        <v>5.2</v>
      </c>
      <c r="EP61" s="3">
        <v>2</v>
      </c>
      <c r="EQ61" s="9">
        <f t="shared" ref="EQ61:EQ71" si="23">+IFERROR((SUM(ER61:FC61)/10),0)</f>
        <v>23.3</v>
      </c>
      <c r="ER61" s="3">
        <v>0</v>
      </c>
      <c r="ES61" s="3">
        <v>15</v>
      </c>
      <c r="ET61" s="3">
        <v>20</v>
      </c>
      <c r="EU61" s="3">
        <v>23</v>
      </c>
      <c r="EV61" s="3">
        <v>26</v>
      </c>
      <c r="EW61" s="3">
        <v>21</v>
      </c>
      <c r="EX61" s="3">
        <v>25</v>
      </c>
      <c r="EY61" s="3">
        <v>27</v>
      </c>
      <c r="EZ61" s="3">
        <v>24</v>
      </c>
      <c r="FA61" s="3">
        <v>31</v>
      </c>
      <c r="FB61" s="3">
        <v>15</v>
      </c>
      <c r="FC61" s="3">
        <v>6</v>
      </c>
      <c r="FD61" s="97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102"/>
      <c r="FR61" s="102"/>
      <c r="GA61" s="34"/>
    </row>
    <row r="62" spans="1:183" x14ac:dyDescent="0.25">
      <c r="A62" s="12" t="s">
        <v>329</v>
      </c>
      <c r="B62" s="27" t="s">
        <v>343</v>
      </c>
      <c r="C62" s="4" t="s">
        <v>337</v>
      </c>
      <c r="D62" s="137">
        <f t="shared" si="20"/>
        <v>11.25</v>
      </c>
      <c r="E62" s="137">
        <v>10</v>
      </c>
      <c r="F62" s="137">
        <v>13</v>
      </c>
      <c r="G62" s="137">
        <v>12</v>
      </c>
      <c r="H62" s="137">
        <v>10</v>
      </c>
      <c r="I62" s="4"/>
      <c r="J62" s="4"/>
      <c r="K62" s="4"/>
      <c r="L62" s="4"/>
      <c r="M62" s="4"/>
      <c r="N62" s="4"/>
      <c r="O62" s="4"/>
      <c r="P62" s="178"/>
      <c r="Q62" s="158">
        <f t="shared" si="21"/>
        <v>22.6</v>
      </c>
      <c r="R62" s="137">
        <v>22</v>
      </c>
      <c r="S62" s="137">
        <v>23</v>
      </c>
      <c r="T62" s="137">
        <v>26</v>
      </c>
      <c r="U62" s="137">
        <v>23</v>
      </c>
      <c r="V62" s="137">
        <v>22</v>
      </c>
      <c r="W62" s="137">
        <v>19</v>
      </c>
      <c r="X62" s="137">
        <v>20</v>
      </c>
      <c r="Y62" s="137">
        <v>19</v>
      </c>
      <c r="Z62" s="137">
        <v>21</v>
      </c>
      <c r="AA62" s="137">
        <v>20</v>
      </c>
      <c r="AB62" s="137">
        <v>8</v>
      </c>
      <c r="AC62" s="140">
        <v>3</v>
      </c>
      <c r="AD62" s="158">
        <v>18.3</v>
      </c>
      <c r="AE62" s="137">
        <v>9</v>
      </c>
      <c r="AF62" s="137">
        <v>20</v>
      </c>
      <c r="AG62" s="137">
        <v>20</v>
      </c>
      <c r="AH62" s="137">
        <v>19</v>
      </c>
      <c r="AI62" s="137">
        <v>17</v>
      </c>
      <c r="AJ62" s="137">
        <v>17</v>
      </c>
      <c r="AK62" s="137">
        <v>17</v>
      </c>
      <c r="AL62" s="137">
        <v>16</v>
      </c>
      <c r="AM62" s="137">
        <v>15</v>
      </c>
      <c r="AN62" s="137">
        <v>16</v>
      </c>
      <c r="AO62" s="137">
        <v>12</v>
      </c>
      <c r="AP62" s="140">
        <v>5</v>
      </c>
      <c r="AQ62" s="8">
        <f t="shared" si="22"/>
        <v>18.100000000000001</v>
      </c>
      <c r="AR62" s="14">
        <v>11</v>
      </c>
      <c r="AS62" s="14">
        <v>16</v>
      </c>
      <c r="AT62" s="14">
        <v>17</v>
      </c>
      <c r="AU62" s="14">
        <v>16</v>
      </c>
      <c r="AV62" s="14">
        <v>16</v>
      </c>
      <c r="AW62" s="14">
        <v>17</v>
      </c>
      <c r="AX62" s="14">
        <v>18</v>
      </c>
      <c r="AY62" s="14">
        <v>20</v>
      </c>
      <c r="AZ62" s="14">
        <v>18</v>
      </c>
      <c r="BA62" s="14">
        <v>17</v>
      </c>
      <c r="BB62" s="14">
        <v>10</v>
      </c>
      <c r="BC62" s="19">
        <v>5</v>
      </c>
      <c r="BD62" s="116">
        <v>8</v>
      </c>
      <c r="BE62" s="14">
        <v>1</v>
      </c>
      <c r="BF62" s="14">
        <v>3</v>
      </c>
      <c r="BG62" s="14">
        <v>7</v>
      </c>
      <c r="BH62" s="14">
        <v>8</v>
      </c>
      <c r="BI62" s="14">
        <v>8</v>
      </c>
      <c r="BJ62" s="14">
        <v>7</v>
      </c>
      <c r="BK62" s="14">
        <v>8</v>
      </c>
      <c r="BL62" s="14">
        <v>8</v>
      </c>
      <c r="BM62" s="14">
        <v>9</v>
      </c>
      <c r="BN62" s="14">
        <v>10</v>
      </c>
      <c r="BO62" s="14">
        <v>7</v>
      </c>
      <c r="BP62" s="19">
        <v>4</v>
      </c>
      <c r="BQ62" s="70">
        <v>7.7</v>
      </c>
      <c r="BR62" s="14">
        <v>5</v>
      </c>
      <c r="BS62" s="14">
        <v>6</v>
      </c>
      <c r="BT62" s="14">
        <v>7</v>
      </c>
      <c r="BU62" s="14">
        <v>8</v>
      </c>
      <c r="BV62" s="14">
        <v>8</v>
      </c>
      <c r="BW62" s="14">
        <v>7</v>
      </c>
      <c r="BX62" s="14">
        <v>9</v>
      </c>
      <c r="BY62" s="14">
        <v>9</v>
      </c>
      <c r="BZ62" s="14">
        <v>8</v>
      </c>
      <c r="CA62" s="14">
        <v>6</v>
      </c>
      <c r="CB62" s="14">
        <v>2</v>
      </c>
      <c r="CC62" s="14">
        <v>2</v>
      </c>
      <c r="CD62" s="17">
        <v>3.6100000000000003</v>
      </c>
      <c r="CE62" s="14">
        <v>0</v>
      </c>
      <c r="CF62" s="14">
        <v>1</v>
      </c>
      <c r="CG62" s="14">
        <v>1</v>
      </c>
      <c r="CH62" s="14">
        <v>4</v>
      </c>
      <c r="CI62" s="14">
        <v>4</v>
      </c>
      <c r="CJ62" s="14">
        <v>5</v>
      </c>
      <c r="CK62" s="14">
        <v>5</v>
      </c>
      <c r="CL62" s="71">
        <v>5.38</v>
      </c>
      <c r="CM62" s="71">
        <v>5.48</v>
      </c>
      <c r="CN62" s="71">
        <v>5.24</v>
      </c>
      <c r="CO62" s="14">
        <v>0</v>
      </c>
      <c r="CP62" s="14">
        <v>0</v>
      </c>
      <c r="CQ62" s="98"/>
      <c r="CR62" s="99"/>
      <c r="CS62" s="99"/>
      <c r="CT62" s="99"/>
      <c r="CU62" s="99"/>
      <c r="CV62" s="99"/>
      <c r="CW62" s="99"/>
      <c r="CX62" s="99"/>
      <c r="CY62" s="99"/>
      <c r="CZ62" s="99"/>
      <c r="DA62" s="134"/>
      <c r="DB62" s="134"/>
      <c r="DC62" s="134"/>
      <c r="DD62" s="98"/>
      <c r="DE62" s="99"/>
      <c r="DF62" s="99"/>
      <c r="DG62" s="99"/>
      <c r="DH62" s="99"/>
      <c r="DI62" s="99"/>
      <c r="DJ62" s="99"/>
      <c r="DK62" s="99"/>
      <c r="DL62" s="99"/>
      <c r="DM62" s="99"/>
      <c r="DN62" s="134"/>
      <c r="DO62" s="134"/>
      <c r="DP62" s="134"/>
      <c r="DQ62" s="98"/>
      <c r="DR62" s="99"/>
      <c r="DS62" s="99"/>
      <c r="DT62" s="99"/>
      <c r="DU62" s="99"/>
      <c r="DV62" s="99"/>
      <c r="DW62" s="99"/>
      <c r="DX62" s="99"/>
      <c r="DY62" s="99"/>
      <c r="DZ62" s="99"/>
      <c r="EA62" s="134"/>
      <c r="EB62" s="134"/>
      <c r="EC62" s="134"/>
      <c r="ED62" s="98"/>
      <c r="EE62" s="99"/>
      <c r="EF62" s="99"/>
      <c r="EG62" s="99"/>
      <c r="EH62" s="99"/>
      <c r="EI62" s="99"/>
      <c r="EJ62" s="99"/>
      <c r="EK62" s="99"/>
      <c r="EL62" s="99"/>
      <c r="EM62" s="99"/>
      <c r="EN62" s="134"/>
      <c r="EO62" s="134"/>
      <c r="EP62" s="134"/>
      <c r="EQ62" s="98"/>
      <c r="ER62" s="14"/>
      <c r="ES62" s="14"/>
      <c r="ET62" s="14"/>
      <c r="EU62" s="14"/>
      <c r="EV62" s="14"/>
      <c r="EW62" s="14"/>
      <c r="EX62" s="14"/>
      <c r="EY62" s="14"/>
      <c r="EZ62" s="14"/>
      <c r="FA62" s="4"/>
      <c r="FB62" s="4"/>
      <c r="FC62" s="4"/>
      <c r="FD62" s="100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08"/>
      <c r="FR62" s="108"/>
      <c r="GA62" s="34"/>
    </row>
    <row r="63" spans="1:183" x14ac:dyDescent="0.25">
      <c r="A63" s="6" t="s">
        <v>160</v>
      </c>
      <c r="B63" s="25" t="s">
        <v>136</v>
      </c>
      <c r="C63" s="1" t="s">
        <v>132</v>
      </c>
      <c r="D63" s="141">
        <f t="shared" si="20"/>
        <v>194.5325</v>
      </c>
      <c r="E63" s="141">
        <v>148</v>
      </c>
      <c r="F63" s="141">
        <v>211.6</v>
      </c>
      <c r="G63" s="141">
        <v>214.93</v>
      </c>
      <c r="H63" s="141">
        <v>203.6</v>
      </c>
      <c r="P63" s="77"/>
      <c r="Q63" s="159">
        <f t="shared" si="21"/>
        <v>245.43200000000002</v>
      </c>
      <c r="R63" s="141">
        <v>220.66</v>
      </c>
      <c r="S63" s="141">
        <v>221.66</v>
      </c>
      <c r="T63" s="141">
        <v>214.32</v>
      </c>
      <c r="U63" s="141">
        <v>204.32</v>
      </c>
      <c r="V63" s="141">
        <v>223.18</v>
      </c>
      <c r="W63" s="141">
        <v>234.18</v>
      </c>
      <c r="X63" s="141">
        <v>231.84</v>
      </c>
      <c r="Y63" s="141">
        <v>265.92</v>
      </c>
      <c r="Z63" s="141">
        <v>255.12</v>
      </c>
      <c r="AA63" s="141">
        <v>248.12</v>
      </c>
      <c r="AB63" s="141">
        <v>79</v>
      </c>
      <c r="AC63" s="154">
        <v>56</v>
      </c>
      <c r="AD63" s="159">
        <v>199.14200000000005</v>
      </c>
      <c r="AE63" s="141">
        <v>189.05</v>
      </c>
      <c r="AF63" s="141">
        <v>188.05</v>
      </c>
      <c r="AG63" s="141">
        <v>180.72</v>
      </c>
      <c r="AH63" s="141">
        <v>186.72</v>
      </c>
      <c r="AI63" s="141">
        <v>183.86</v>
      </c>
      <c r="AJ63" s="141">
        <v>172.86</v>
      </c>
      <c r="AK63" s="141">
        <v>179.72</v>
      </c>
      <c r="AL63" s="141">
        <v>216.72</v>
      </c>
      <c r="AM63" s="141">
        <v>206.86</v>
      </c>
      <c r="AN63" s="141">
        <v>200.86</v>
      </c>
      <c r="AO63" s="141">
        <v>55</v>
      </c>
      <c r="AP63" s="154">
        <v>31</v>
      </c>
      <c r="AQ63" s="9">
        <f t="shared" si="22"/>
        <v>200.49299999999999</v>
      </c>
      <c r="AR63" s="3">
        <v>179.33</v>
      </c>
      <c r="AS63" s="3">
        <v>178.33</v>
      </c>
      <c r="AT63" s="3">
        <v>196.33</v>
      </c>
      <c r="AU63" s="3">
        <v>197.33</v>
      </c>
      <c r="AV63" s="3">
        <v>189.32</v>
      </c>
      <c r="AW63" s="3">
        <v>192.65</v>
      </c>
      <c r="AX63" s="3">
        <v>182.65</v>
      </c>
      <c r="AY63" s="3">
        <v>200.33</v>
      </c>
      <c r="AZ63" s="3">
        <v>210.33</v>
      </c>
      <c r="BA63" s="3">
        <v>190.33</v>
      </c>
      <c r="BB63" s="3">
        <v>52</v>
      </c>
      <c r="BC63" s="20">
        <v>36</v>
      </c>
      <c r="BD63" s="117">
        <v>196.268</v>
      </c>
      <c r="BE63" s="3">
        <v>185.73</v>
      </c>
      <c r="BF63" s="3">
        <v>200.73</v>
      </c>
      <c r="BG63" s="3">
        <v>190</v>
      </c>
      <c r="BH63" s="3">
        <v>182.66</v>
      </c>
      <c r="BI63" s="3">
        <v>197.52</v>
      </c>
      <c r="BJ63" s="3">
        <v>202.52</v>
      </c>
      <c r="BK63" s="3">
        <v>193.52</v>
      </c>
      <c r="BL63" s="3">
        <v>207</v>
      </c>
      <c r="BM63" s="3">
        <v>175</v>
      </c>
      <c r="BN63" s="3">
        <v>178</v>
      </c>
      <c r="BO63" s="3">
        <v>28</v>
      </c>
      <c r="BP63" s="20">
        <v>22</v>
      </c>
      <c r="BQ63" s="65">
        <v>264.14800000000002</v>
      </c>
      <c r="BR63" s="3">
        <v>243.66</v>
      </c>
      <c r="BS63" s="3">
        <v>244.06</v>
      </c>
      <c r="BT63" s="3">
        <v>281.06</v>
      </c>
      <c r="BU63" s="3">
        <v>253.06</v>
      </c>
      <c r="BV63" s="3">
        <v>271.66000000000003</v>
      </c>
      <c r="BW63" s="3">
        <v>265.66000000000003</v>
      </c>
      <c r="BX63" s="3">
        <v>249.66</v>
      </c>
      <c r="BY63" s="3">
        <v>277.66000000000003</v>
      </c>
      <c r="BZ63" s="3">
        <v>262</v>
      </c>
      <c r="CA63" s="3">
        <v>245</v>
      </c>
      <c r="CB63" s="3">
        <v>28</v>
      </c>
      <c r="CC63" s="3">
        <v>20</v>
      </c>
      <c r="CD63" s="16">
        <v>293.20600000000002</v>
      </c>
      <c r="CE63" s="3">
        <v>257.31</v>
      </c>
      <c r="CF63" s="3">
        <v>299.64</v>
      </c>
      <c r="CG63" s="3">
        <v>289.7</v>
      </c>
      <c r="CH63" s="3">
        <v>272.89999999999998</v>
      </c>
      <c r="CI63" s="3">
        <v>288.06</v>
      </c>
      <c r="CJ63" s="3">
        <v>274.66000000000003</v>
      </c>
      <c r="CK63" s="3">
        <v>258.79000000000002</v>
      </c>
      <c r="CL63" s="66">
        <v>311.31</v>
      </c>
      <c r="CM63" s="66">
        <v>309.39999999999998</v>
      </c>
      <c r="CN63" s="66">
        <v>282.29000000000002</v>
      </c>
      <c r="CO63" s="3">
        <v>48</v>
      </c>
      <c r="CP63" s="3">
        <v>40</v>
      </c>
      <c r="CQ63" s="9">
        <v>326.55499999999995</v>
      </c>
      <c r="CR63" s="3">
        <v>91</v>
      </c>
      <c r="CS63" s="3">
        <v>264.22000000000003</v>
      </c>
      <c r="CT63" s="3">
        <v>339.85</v>
      </c>
      <c r="CU63" s="3">
        <v>315.18</v>
      </c>
      <c r="CV63" s="3">
        <v>360.82</v>
      </c>
      <c r="CW63" s="3">
        <v>356.23</v>
      </c>
      <c r="CX63" s="3">
        <v>337.77</v>
      </c>
      <c r="CY63" s="3">
        <v>382.84</v>
      </c>
      <c r="CZ63" s="3">
        <v>380.49</v>
      </c>
      <c r="DA63" s="3">
        <v>347.15</v>
      </c>
      <c r="DB63" s="3">
        <v>57</v>
      </c>
      <c r="DC63" s="3">
        <v>33</v>
      </c>
      <c r="DD63" s="9">
        <v>373.12799999999993</v>
      </c>
      <c r="DE63" s="3">
        <v>281.62</v>
      </c>
      <c r="DF63" s="3">
        <v>377.62</v>
      </c>
      <c r="DG63" s="3">
        <v>394.22</v>
      </c>
      <c r="DH63" s="3">
        <v>342.55</v>
      </c>
      <c r="DI63" s="3">
        <v>355.5</v>
      </c>
      <c r="DJ63" s="3">
        <v>376.9</v>
      </c>
      <c r="DK63" s="3">
        <v>353.1</v>
      </c>
      <c r="DL63" s="3">
        <v>383.7</v>
      </c>
      <c r="DM63" s="3">
        <v>361.7</v>
      </c>
      <c r="DN63" s="3">
        <v>335.37</v>
      </c>
      <c r="DO63" s="3">
        <v>137</v>
      </c>
      <c r="DP63" s="20">
        <v>32</v>
      </c>
      <c r="DQ63" s="9">
        <v>326.79599999999999</v>
      </c>
      <c r="DR63" s="3">
        <v>67</v>
      </c>
      <c r="DS63" s="3">
        <v>340.94</v>
      </c>
      <c r="DT63" s="3">
        <v>333.62</v>
      </c>
      <c r="DU63" s="3">
        <v>317.62</v>
      </c>
      <c r="DV63" s="3">
        <v>332.73</v>
      </c>
      <c r="DW63" s="3">
        <v>338.4</v>
      </c>
      <c r="DX63" s="3">
        <v>322.39999999999998</v>
      </c>
      <c r="DY63" s="3">
        <v>364.9</v>
      </c>
      <c r="DZ63" s="3">
        <v>357.57</v>
      </c>
      <c r="EA63" s="3">
        <v>339.84</v>
      </c>
      <c r="EB63" s="3">
        <v>123.47</v>
      </c>
      <c r="EC63" s="3">
        <v>29.47</v>
      </c>
      <c r="ED63" s="9">
        <f t="shared" si="16"/>
        <v>336.06599999999997</v>
      </c>
      <c r="EE63" s="3">
        <v>68</v>
      </c>
      <c r="EF63" s="3">
        <v>348.02</v>
      </c>
      <c r="EG63" s="3">
        <v>359.03</v>
      </c>
      <c r="EH63" s="3">
        <v>325.02999999999997</v>
      </c>
      <c r="EI63" s="3">
        <v>321.77</v>
      </c>
      <c r="EJ63" s="3">
        <v>332.32</v>
      </c>
      <c r="EK63" s="3">
        <v>319.99</v>
      </c>
      <c r="EL63" s="3">
        <v>397.85</v>
      </c>
      <c r="EM63" s="3">
        <v>370.83</v>
      </c>
      <c r="EN63" s="3">
        <v>355.43</v>
      </c>
      <c r="EO63" s="3">
        <v>119.26</v>
      </c>
      <c r="EP63" s="3">
        <v>43.13</v>
      </c>
      <c r="EQ63" s="9">
        <f t="shared" si="23"/>
        <v>174.404</v>
      </c>
      <c r="ER63" s="3">
        <v>17</v>
      </c>
      <c r="ES63" s="3">
        <v>104.79</v>
      </c>
      <c r="ET63" s="3">
        <v>136.26</v>
      </c>
      <c r="EU63" s="3">
        <v>140.93</v>
      </c>
      <c r="EV63" s="3">
        <v>129.53</v>
      </c>
      <c r="EW63" s="3">
        <v>130.63999999999999</v>
      </c>
      <c r="EX63" s="3">
        <v>113.31</v>
      </c>
      <c r="EY63" s="3">
        <v>255.28</v>
      </c>
      <c r="EZ63" s="3">
        <v>307.64999999999998</v>
      </c>
      <c r="FA63" s="3">
        <v>267.64999999999998</v>
      </c>
      <c r="FB63" s="3">
        <v>101</v>
      </c>
      <c r="FC63" s="3">
        <v>40</v>
      </c>
      <c r="FD63" s="97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102"/>
      <c r="FR63" s="102"/>
      <c r="GA63" s="34"/>
    </row>
    <row r="64" spans="1:183" x14ac:dyDescent="0.25">
      <c r="A64" s="6" t="s">
        <v>224</v>
      </c>
      <c r="B64" s="25" t="s">
        <v>222</v>
      </c>
      <c r="C64" s="1" t="s">
        <v>221</v>
      </c>
      <c r="D64" s="141">
        <f t="shared" si="20"/>
        <v>3.25</v>
      </c>
      <c r="E64" s="141">
        <v>3</v>
      </c>
      <c r="F64" s="141">
        <v>5</v>
      </c>
      <c r="G64" s="141">
        <v>2</v>
      </c>
      <c r="H64" s="141">
        <v>3</v>
      </c>
      <c r="P64" s="77"/>
      <c r="Q64" s="159">
        <f t="shared" si="21"/>
        <v>1.6</v>
      </c>
      <c r="R64" s="141">
        <v>1</v>
      </c>
      <c r="S64" s="141">
        <v>2</v>
      </c>
      <c r="T64" s="141">
        <v>4</v>
      </c>
      <c r="U64" s="141">
        <v>2</v>
      </c>
      <c r="V64" s="141">
        <v>2</v>
      </c>
      <c r="W64" s="141">
        <v>2</v>
      </c>
      <c r="X64" s="141">
        <v>1</v>
      </c>
      <c r="Y64" s="141">
        <v>1</v>
      </c>
      <c r="Z64" s="141">
        <v>0</v>
      </c>
      <c r="AA64" s="141">
        <v>0</v>
      </c>
      <c r="AB64" s="141">
        <v>1</v>
      </c>
      <c r="AC64" s="154">
        <v>0</v>
      </c>
      <c r="AD64" s="159">
        <v>4.3</v>
      </c>
      <c r="AE64" s="141">
        <v>3</v>
      </c>
      <c r="AF64" s="141">
        <v>2</v>
      </c>
      <c r="AG64" s="141">
        <v>4</v>
      </c>
      <c r="AH64" s="141">
        <v>6</v>
      </c>
      <c r="AI64" s="141">
        <v>5</v>
      </c>
      <c r="AJ64" s="141">
        <v>6</v>
      </c>
      <c r="AK64" s="141">
        <v>5</v>
      </c>
      <c r="AL64" s="141">
        <v>5</v>
      </c>
      <c r="AM64" s="141">
        <v>3</v>
      </c>
      <c r="AN64" s="141">
        <v>4</v>
      </c>
      <c r="AO64" s="141">
        <v>0</v>
      </c>
      <c r="AP64" s="154">
        <v>0</v>
      </c>
      <c r="AQ64" s="9">
        <f t="shared" si="22"/>
        <v>6.1</v>
      </c>
      <c r="AR64" s="3">
        <v>5</v>
      </c>
      <c r="AS64" s="3">
        <v>4</v>
      </c>
      <c r="AT64" s="3">
        <v>6</v>
      </c>
      <c r="AU64" s="3">
        <v>6</v>
      </c>
      <c r="AV64" s="3">
        <v>7</v>
      </c>
      <c r="AW64" s="3">
        <v>7</v>
      </c>
      <c r="AX64" s="3">
        <v>5</v>
      </c>
      <c r="AY64" s="3">
        <v>9</v>
      </c>
      <c r="AZ64" s="3">
        <v>5</v>
      </c>
      <c r="BA64" s="3">
        <v>7</v>
      </c>
      <c r="BB64" s="3">
        <v>0</v>
      </c>
      <c r="BC64" s="20">
        <v>0</v>
      </c>
      <c r="BD64" s="117">
        <v>4.3</v>
      </c>
      <c r="BE64" s="3">
        <v>1</v>
      </c>
      <c r="BF64" s="3">
        <v>4</v>
      </c>
      <c r="BG64" s="3">
        <v>4</v>
      </c>
      <c r="BH64" s="3">
        <v>4</v>
      </c>
      <c r="BI64" s="3">
        <v>4</v>
      </c>
      <c r="BJ64" s="3">
        <v>4</v>
      </c>
      <c r="BK64" s="3">
        <v>7</v>
      </c>
      <c r="BL64" s="3">
        <v>6</v>
      </c>
      <c r="BM64" s="3">
        <v>5</v>
      </c>
      <c r="BN64" s="3">
        <v>4</v>
      </c>
      <c r="BO64" s="3">
        <v>0</v>
      </c>
      <c r="BP64" s="20">
        <v>0</v>
      </c>
      <c r="BQ64" s="65">
        <v>1.7</v>
      </c>
      <c r="BR64" s="3">
        <v>2</v>
      </c>
      <c r="BS64" s="3">
        <v>3</v>
      </c>
      <c r="BT64" s="3">
        <v>3</v>
      </c>
      <c r="BU64" s="3">
        <v>2</v>
      </c>
      <c r="BV64" s="3">
        <v>0</v>
      </c>
      <c r="BW64" s="3">
        <v>0</v>
      </c>
      <c r="BX64" s="3">
        <v>2</v>
      </c>
      <c r="BY64" s="3">
        <v>2</v>
      </c>
      <c r="BZ64" s="3">
        <v>2</v>
      </c>
      <c r="CA64" s="3">
        <v>1</v>
      </c>
      <c r="CB64" s="3">
        <v>0</v>
      </c>
      <c r="CC64" s="3">
        <v>0</v>
      </c>
      <c r="CD64" s="16">
        <v>3.1870000000000003</v>
      </c>
      <c r="CE64" s="3">
        <v>2</v>
      </c>
      <c r="CF64" s="3">
        <v>2</v>
      </c>
      <c r="CG64" s="3">
        <v>2</v>
      </c>
      <c r="CH64" s="3">
        <v>3</v>
      </c>
      <c r="CI64" s="3">
        <v>4</v>
      </c>
      <c r="CJ64" s="3">
        <v>4</v>
      </c>
      <c r="CK64" s="3">
        <v>2</v>
      </c>
      <c r="CL64" s="66">
        <v>4.3</v>
      </c>
      <c r="CM64" s="66">
        <v>4.38</v>
      </c>
      <c r="CN64" s="66">
        <v>4.1900000000000004</v>
      </c>
      <c r="CO64" s="3">
        <v>0</v>
      </c>
      <c r="CP64" s="3">
        <v>0</v>
      </c>
      <c r="CQ64" s="9">
        <v>0.6</v>
      </c>
      <c r="CR64" s="3">
        <v>0</v>
      </c>
      <c r="CS64" s="3">
        <v>0</v>
      </c>
      <c r="CT64" s="3">
        <v>1</v>
      </c>
      <c r="CU64" s="3">
        <v>1</v>
      </c>
      <c r="CV64" s="3">
        <v>1</v>
      </c>
      <c r="CW64" s="3">
        <v>1</v>
      </c>
      <c r="CX64" s="3">
        <v>1</v>
      </c>
      <c r="CY64" s="3">
        <v>0</v>
      </c>
      <c r="CZ64" s="3">
        <v>1</v>
      </c>
      <c r="DA64" s="3">
        <v>0</v>
      </c>
      <c r="DB64" s="3">
        <v>0</v>
      </c>
      <c r="DC64" s="3">
        <v>0</v>
      </c>
      <c r="DD64" s="9">
        <v>0.1</v>
      </c>
      <c r="DE64" s="3">
        <v>1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20">
        <v>0</v>
      </c>
      <c r="DQ64" s="9">
        <v>0.1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1</v>
      </c>
      <c r="EB64" s="3">
        <v>0</v>
      </c>
      <c r="EC64" s="3">
        <v>0</v>
      </c>
      <c r="ED64" s="9">
        <f t="shared" si="16"/>
        <v>0.2</v>
      </c>
      <c r="EE64" s="3"/>
      <c r="EF64" s="3"/>
      <c r="EG64" s="3"/>
      <c r="EH64" s="3"/>
      <c r="EI64" s="3">
        <v>0</v>
      </c>
      <c r="EJ64" s="3">
        <v>0</v>
      </c>
      <c r="EK64" s="3">
        <v>0</v>
      </c>
      <c r="EL64" s="3">
        <v>0</v>
      </c>
      <c r="EM64" s="3">
        <v>1</v>
      </c>
      <c r="EN64" s="3">
        <v>1</v>
      </c>
      <c r="EO64" s="3">
        <v>0</v>
      </c>
      <c r="EP64" s="3">
        <v>0</v>
      </c>
      <c r="EQ64" s="89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97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102"/>
      <c r="FR64" s="102"/>
      <c r="GA64" s="34"/>
    </row>
    <row r="65" spans="1:183" x14ac:dyDescent="0.25">
      <c r="A65" s="11" t="s">
        <v>159</v>
      </c>
      <c r="B65" s="145" t="s">
        <v>11</v>
      </c>
      <c r="C65" s="7" t="s">
        <v>12</v>
      </c>
      <c r="D65" s="142">
        <f t="shared" si="20"/>
        <v>26</v>
      </c>
      <c r="E65" s="142">
        <v>22</v>
      </c>
      <c r="F65" s="142">
        <v>27</v>
      </c>
      <c r="G65" s="142">
        <v>30</v>
      </c>
      <c r="H65" s="142">
        <v>25</v>
      </c>
      <c r="I65" s="7"/>
      <c r="J65" s="7"/>
      <c r="K65" s="7"/>
      <c r="L65" s="7"/>
      <c r="M65" s="7"/>
      <c r="N65" s="7"/>
      <c r="O65" s="7"/>
      <c r="P65" s="179"/>
      <c r="Q65" s="160">
        <f t="shared" si="21"/>
        <v>33.200000000000003</v>
      </c>
      <c r="R65" s="142">
        <v>24</v>
      </c>
      <c r="S65" s="142">
        <v>33</v>
      </c>
      <c r="T65" s="142">
        <v>31</v>
      </c>
      <c r="U65" s="142">
        <v>32</v>
      </c>
      <c r="V65" s="142">
        <v>32</v>
      </c>
      <c r="W65" s="142">
        <v>33</v>
      </c>
      <c r="X65" s="142">
        <v>34</v>
      </c>
      <c r="Y65" s="142">
        <v>34</v>
      </c>
      <c r="Z65" s="142">
        <v>32</v>
      </c>
      <c r="AA65" s="142">
        <v>28</v>
      </c>
      <c r="AB65" s="142">
        <v>13</v>
      </c>
      <c r="AC65" s="155">
        <v>6</v>
      </c>
      <c r="AD65" s="160">
        <v>21.934000000000001</v>
      </c>
      <c r="AE65" s="142">
        <v>9</v>
      </c>
      <c r="AF65" s="142">
        <v>9.1999999999999993</v>
      </c>
      <c r="AG65" s="142">
        <v>15.2</v>
      </c>
      <c r="AH65" s="142">
        <v>18.2</v>
      </c>
      <c r="AI65" s="142">
        <v>16</v>
      </c>
      <c r="AJ65" s="142">
        <v>22</v>
      </c>
      <c r="AK65" s="142">
        <v>29</v>
      </c>
      <c r="AL65" s="142">
        <v>26</v>
      </c>
      <c r="AM65" s="142">
        <v>22</v>
      </c>
      <c r="AN65" s="142">
        <v>22</v>
      </c>
      <c r="AO65" s="142">
        <v>18.87</v>
      </c>
      <c r="AP65" s="155">
        <v>11.87</v>
      </c>
      <c r="AQ65" s="10">
        <f t="shared" si="22"/>
        <v>24.987000000000002</v>
      </c>
      <c r="AR65" s="15">
        <v>18</v>
      </c>
      <c r="AS65" s="15">
        <v>17</v>
      </c>
      <c r="AT65" s="15">
        <v>26</v>
      </c>
      <c r="AU65" s="15">
        <v>25</v>
      </c>
      <c r="AV65" s="15">
        <v>26</v>
      </c>
      <c r="AW65" s="15">
        <v>25</v>
      </c>
      <c r="AX65" s="15">
        <v>23</v>
      </c>
      <c r="AY65" s="15">
        <v>27</v>
      </c>
      <c r="AZ65" s="15">
        <v>22</v>
      </c>
      <c r="BA65" s="15">
        <v>18</v>
      </c>
      <c r="BB65" s="15">
        <v>15</v>
      </c>
      <c r="BC65" s="21">
        <v>7.87</v>
      </c>
      <c r="BD65" s="118">
        <v>17.447000000000003</v>
      </c>
      <c r="BE65" s="15">
        <v>10</v>
      </c>
      <c r="BF65" s="15">
        <v>10.199999999999999</v>
      </c>
      <c r="BG65" s="15">
        <v>14</v>
      </c>
      <c r="BH65" s="15">
        <v>11.2</v>
      </c>
      <c r="BI65" s="15">
        <v>15</v>
      </c>
      <c r="BJ65" s="15">
        <v>15.2</v>
      </c>
      <c r="BK65" s="15">
        <v>17</v>
      </c>
      <c r="BL65" s="15">
        <v>21</v>
      </c>
      <c r="BM65" s="15">
        <v>21</v>
      </c>
      <c r="BN65" s="15">
        <v>20</v>
      </c>
      <c r="BO65" s="15">
        <v>10</v>
      </c>
      <c r="BP65" s="21">
        <v>9.8699999999999992</v>
      </c>
      <c r="BQ65" s="73">
        <v>18.100000000000001</v>
      </c>
      <c r="BR65" s="15">
        <v>18</v>
      </c>
      <c r="BS65" s="15">
        <v>10</v>
      </c>
      <c r="BT65" s="15">
        <v>14</v>
      </c>
      <c r="BU65" s="15">
        <v>15</v>
      </c>
      <c r="BV65" s="15">
        <v>15</v>
      </c>
      <c r="BW65" s="15">
        <v>18</v>
      </c>
      <c r="BX65" s="15">
        <v>18</v>
      </c>
      <c r="BY65" s="15">
        <v>17</v>
      </c>
      <c r="BZ65" s="15">
        <v>18</v>
      </c>
      <c r="CA65" s="15">
        <v>17</v>
      </c>
      <c r="CB65" s="15">
        <v>13</v>
      </c>
      <c r="CC65" s="15">
        <v>8</v>
      </c>
      <c r="CD65" s="18">
        <v>14.262</v>
      </c>
      <c r="CE65" s="15">
        <v>4</v>
      </c>
      <c r="CF65" s="15">
        <v>15</v>
      </c>
      <c r="CG65" s="15">
        <v>14</v>
      </c>
      <c r="CH65" s="15">
        <v>16</v>
      </c>
      <c r="CI65" s="15">
        <v>16</v>
      </c>
      <c r="CJ65" s="15">
        <v>12</v>
      </c>
      <c r="CK65" s="15">
        <v>16</v>
      </c>
      <c r="CL65" s="74">
        <v>13.09</v>
      </c>
      <c r="CM65" s="74">
        <v>12.54</v>
      </c>
      <c r="CN65" s="74">
        <v>11.99</v>
      </c>
      <c r="CO65" s="15">
        <v>6</v>
      </c>
      <c r="CP65" s="15">
        <v>6</v>
      </c>
      <c r="CQ65" s="10">
        <v>19.97</v>
      </c>
      <c r="CR65" s="15">
        <v>9</v>
      </c>
      <c r="CS65" s="15">
        <v>8</v>
      </c>
      <c r="CT65" s="15">
        <v>19.7</v>
      </c>
      <c r="CU65" s="15">
        <v>16</v>
      </c>
      <c r="CV65" s="15">
        <v>16</v>
      </c>
      <c r="CW65" s="15">
        <v>19</v>
      </c>
      <c r="CX65" s="15">
        <v>22</v>
      </c>
      <c r="CY65" s="15">
        <v>24</v>
      </c>
      <c r="CZ65" s="15">
        <v>23</v>
      </c>
      <c r="DA65" s="15">
        <v>22</v>
      </c>
      <c r="DB65" s="15">
        <v>13</v>
      </c>
      <c r="DC65" s="15">
        <v>8</v>
      </c>
      <c r="DD65" s="10">
        <v>24.18</v>
      </c>
      <c r="DE65" s="15">
        <v>11</v>
      </c>
      <c r="DF65" s="15">
        <v>19</v>
      </c>
      <c r="DG65" s="15">
        <v>24</v>
      </c>
      <c r="DH65" s="15">
        <v>22.6</v>
      </c>
      <c r="DI65" s="15">
        <v>21.6</v>
      </c>
      <c r="DJ65" s="15">
        <v>23.6</v>
      </c>
      <c r="DK65" s="15">
        <v>24</v>
      </c>
      <c r="DL65" s="15">
        <v>28</v>
      </c>
      <c r="DM65" s="15">
        <v>22</v>
      </c>
      <c r="DN65" s="15">
        <v>22</v>
      </c>
      <c r="DO65" s="15">
        <v>15</v>
      </c>
      <c r="DP65" s="21">
        <v>9</v>
      </c>
      <c r="DQ65" s="10">
        <v>22.4</v>
      </c>
      <c r="DR65" s="15">
        <v>22</v>
      </c>
      <c r="DS65" s="15">
        <v>18</v>
      </c>
      <c r="DT65" s="15">
        <v>15</v>
      </c>
      <c r="DU65" s="15">
        <v>19</v>
      </c>
      <c r="DV65" s="15">
        <v>12</v>
      </c>
      <c r="DW65" s="15">
        <v>19</v>
      </c>
      <c r="DX65" s="15">
        <v>21</v>
      </c>
      <c r="DY65" s="15">
        <v>23</v>
      </c>
      <c r="DZ65" s="15">
        <v>27</v>
      </c>
      <c r="EA65" s="15">
        <v>26</v>
      </c>
      <c r="EB65" s="15">
        <v>14</v>
      </c>
      <c r="EC65" s="15">
        <v>8</v>
      </c>
      <c r="ED65" s="10">
        <f t="shared" si="16"/>
        <v>21.7</v>
      </c>
      <c r="EE65" s="15">
        <v>16</v>
      </c>
      <c r="EF65" s="15">
        <v>17</v>
      </c>
      <c r="EG65" s="15">
        <v>18</v>
      </c>
      <c r="EH65" s="15">
        <v>21</v>
      </c>
      <c r="EI65" s="15">
        <v>20</v>
      </c>
      <c r="EJ65" s="15">
        <v>16</v>
      </c>
      <c r="EK65" s="15">
        <v>22</v>
      </c>
      <c r="EL65" s="15">
        <v>29</v>
      </c>
      <c r="EM65" s="15">
        <v>22</v>
      </c>
      <c r="EN65" s="15">
        <v>14</v>
      </c>
      <c r="EO65" s="15">
        <v>14</v>
      </c>
      <c r="EP65" s="15">
        <v>8</v>
      </c>
      <c r="EQ65" s="10">
        <f t="shared" si="23"/>
        <v>23.88</v>
      </c>
      <c r="ER65" s="15">
        <v>15.6</v>
      </c>
      <c r="ES65" s="15">
        <v>22.6</v>
      </c>
      <c r="ET65" s="15">
        <v>21.6</v>
      </c>
      <c r="EU65" s="15">
        <v>24.6</v>
      </c>
      <c r="EV65" s="15">
        <v>18.600000000000001</v>
      </c>
      <c r="EW65" s="15">
        <v>18.600000000000001</v>
      </c>
      <c r="EX65" s="15">
        <v>28.6</v>
      </c>
      <c r="EY65" s="15">
        <v>24.6</v>
      </c>
      <c r="EZ65" s="15">
        <v>22</v>
      </c>
      <c r="FA65" s="15">
        <v>18</v>
      </c>
      <c r="FB65" s="15">
        <v>16</v>
      </c>
      <c r="FC65" s="15">
        <v>8</v>
      </c>
      <c r="FD65" s="75">
        <f t="shared" si="9"/>
        <v>14.26</v>
      </c>
      <c r="FE65" s="15">
        <v>12</v>
      </c>
      <c r="FF65" s="15">
        <v>13</v>
      </c>
      <c r="FG65" s="15">
        <v>17</v>
      </c>
      <c r="FH65" s="15">
        <v>14</v>
      </c>
      <c r="FI65" s="15">
        <v>11</v>
      </c>
      <c r="FJ65" s="15">
        <v>12</v>
      </c>
      <c r="FK65" s="15">
        <v>17.600000000000001</v>
      </c>
      <c r="FL65" s="15">
        <v>9.6</v>
      </c>
      <c r="FM65" s="15">
        <v>13.2</v>
      </c>
      <c r="FN65" s="15">
        <v>13.6</v>
      </c>
      <c r="FO65" s="15">
        <v>0</v>
      </c>
      <c r="FP65" s="15">
        <v>9.6</v>
      </c>
      <c r="FQ65" s="18">
        <v>11.3</v>
      </c>
      <c r="FR65" s="103"/>
      <c r="GA65" s="34"/>
    </row>
    <row r="66" spans="1:183" x14ac:dyDescent="0.25">
      <c r="A66" s="6"/>
      <c r="B66" s="25" t="s">
        <v>388</v>
      </c>
      <c r="C66" s="157" t="s">
        <v>415</v>
      </c>
      <c r="D66" s="141">
        <f t="shared" si="20"/>
        <v>1.75</v>
      </c>
      <c r="E66" s="141">
        <v>2</v>
      </c>
      <c r="F66" s="141">
        <v>1</v>
      </c>
      <c r="G66" s="141">
        <v>3</v>
      </c>
      <c r="H66" s="141">
        <v>1</v>
      </c>
      <c r="I66" s="157"/>
      <c r="J66" s="157"/>
      <c r="K66" s="157"/>
      <c r="L66" s="157"/>
      <c r="M66" s="157"/>
      <c r="N66" s="157"/>
      <c r="O66" s="157"/>
      <c r="P66" s="182"/>
      <c r="Q66" s="159">
        <f t="shared" si="21"/>
        <v>1.9</v>
      </c>
      <c r="R66" s="141">
        <v>0</v>
      </c>
      <c r="S66" s="141">
        <v>0</v>
      </c>
      <c r="T66" s="141">
        <v>2</v>
      </c>
      <c r="U66" s="141">
        <v>2</v>
      </c>
      <c r="V66" s="141">
        <v>2</v>
      </c>
      <c r="W66" s="141">
        <v>3</v>
      </c>
      <c r="X66" s="141">
        <v>3</v>
      </c>
      <c r="Y66" s="141">
        <v>2</v>
      </c>
      <c r="Z66" s="141">
        <v>2</v>
      </c>
      <c r="AA66" s="141">
        <v>3</v>
      </c>
      <c r="AB66" s="141">
        <v>0</v>
      </c>
      <c r="AC66" s="154">
        <v>0</v>
      </c>
      <c r="AD66" s="159">
        <v>0.6</v>
      </c>
      <c r="AE66" s="141">
        <v>0</v>
      </c>
      <c r="AF66" s="141">
        <v>0</v>
      </c>
      <c r="AG66" s="141">
        <v>1</v>
      </c>
      <c r="AH66" s="141">
        <v>1</v>
      </c>
      <c r="AI66" s="141">
        <v>1</v>
      </c>
      <c r="AJ66" s="141">
        <v>1</v>
      </c>
      <c r="AK66" s="141">
        <v>1</v>
      </c>
      <c r="AL66" s="141">
        <v>1</v>
      </c>
      <c r="AM66" s="141">
        <v>0</v>
      </c>
      <c r="AN66" s="141">
        <v>0</v>
      </c>
      <c r="AO66" s="141">
        <v>0</v>
      </c>
      <c r="AP66" s="141">
        <v>0</v>
      </c>
      <c r="AQ66" s="9">
        <f>SUM(AR66:BC66)/10</f>
        <v>0.2</v>
      </c>
      <c r="AR66" s="3">
        <v>0</v>
      </c>
      <c r="AS66" s="3">
        <v>0</v>
      </c>
      <c r="AT66" s="3">
        <v>0</v>
      </c>
      <c r="AU66" s="3">
        <v>1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1</v>
      </c>
      <c r="BB66" s="3">
        <v>0</v>
      </c>
      <c r="BC66" s="3">
        <v>0</v>
      </c>
      <c r="BD66" s="91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20"/>
      <c r="BQ66" s="101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01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01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98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98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00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01"/>
      <c r="FR66" s="101"/>
      <c r="GA66" s="34"/>
    </row>
    <row r="67" spans="1:183" x14ac:dyDescent="0.25">
      <c r="A67" s="6"/>
      <c r="B67" s="25" t="s">
        <v>378</v>
      </c>
      <c r="C67" s="1" t="s">
        <v>377</v>
      </c>
      <c r="D67" s="141">
        <f t="shared" si="20"/>
        <v>0</v>
      </c>
      <c r="E67" s="141">
        <v>0</v>
      </c>
      <c r="F67" s="141">
        <v>0</v>
      </c>
      <c r="G67" s="141">
        <v>0</v>
      </c>
      <c r="H67" s="141">
        <v>0</v>
      </c>
      <c r="P67" s="77"/>
      <c r="Q67" s="159">
        <f t="shared" si="21"/>
        <v>5.5950000000000006</v>
      </c>
      <c r="R67" s="141">
        <v>0</v>
      </c>
      <c r="S67" s="141">
        <v>0</v>
      </c>
      <c r="T67" s="141">
        <v>0</v>
      </c>
      <c r="U67" s="141">
        <v>0</v>
      </c>
      <c r="V67" s="141">
        <v>0</v>
      </c>
      <c r="W67" s="141">
        <v>0</v>
      </c>
      <c r="X67" s="141">
        <v>15.99</v>
      </c>
      <c r="Y67" s="141">
        <v>7.65</v>
      </c>
      <c r="Z67" s="141">
        <v>8.33</v>
      </c>
      <c r="AA67" s="141">
        <v>11.99</v>
      </c>
      <c r="AB67" s="141">
        <v>11.99</v>
      </c>
      <c r="AC67" s="154">
        <v>0</v>
      </c>
      <c r="AD67" s="159">
        <v>10.855</v>
      </c>
      <c r="AE67" s="141">
        <v>14.66</v>
      </c>
      <c r="AF67" s="141">
        <v>14.66</v>
      </c>
      <c r="AG67" s="141">
        <v>13.99</v>
      </c>
      <c r="AH67" s="141">
        <v>11.33</v>
      </c>
      <c r="AI67" s="141">
        <v>7.66</v>
      </c>
      <c r="AJ67" s="141">
        <v>10.32</v>
      </c>
      <c r="AK67" s="141">
        <v>7.66</v>
      </c>
      <c r="AL67" s="141">
        <v>10.64</v>
      </c>
      <c r="AM67" s="141">
        <v>8.98</v>
      </c>
      <c r="AN67" s="141">
        <v>8.65</v>
      </c>
      <c r="AO67" s="141">
        <v>0</v>
      </c>
      <c r="AP67" s="141">
        <v>0</v>
      </c>
      <c r="AQ67" s="9">
        <f t="shared" si="22"/>
        <v>12.686999999999999</v>
      </c>
      <c r="AR67" s="3">
        <v>15.64</v>
      </c>
      <c r="AS67" s="3">
        <v>17.3</v>
      </c>
      <c r="AT67" s="3">
        <v>16.97</v>
      </c>
      <c r="AU67" s="3">
        <v>19.97</v>
      </c>
      <c r="AV67" s="3">
        <v>10.33</v>
      </c>
      <c r="AW67" s="3">
        <v>9.33</v>
      </c>
      <c r="AX67" s="3">
        <v>9.33</v>
      </c>
      <c r="AY67" s="3">
        <v>11</v>
      </c>
      <c r="AZ67" s="3">
        <v>9</v>
      </c>
      <c r="BA67" s="3">
        <v>8</v>
      </c>
      <c r="BB67" s="3">
        <v>0</v>
      </c>
      <c r="BC67" s="3">
        <v>0</v>
      </c>
      <c r="BD67" s="117">
        <v>5.9</v>
      </c>
      <c r="BE67" s="14">
        <v>6</v>
      </c>
      <c r="BF67" s="14">
        <v>9</v>
      </c>
      <c r="BG67" s="14">
        <v>8</v>
      </c>
      <c r="BH67" s="14">
        <v>6</v>
      </c>
      <c r="BI67" s="14">
        <v>6</v>
      </c>
      <c r="BJ67" s="14">
        <v>5</v>
      </c>
      <c r="BK67" s="14">
        <v>3</v>
      </c>
      <c r="BL67" s="14">
        <v>7</v>
      </c>
      <c r="BM67" s="14">
        <v>5</v>
      </c>
      <c r="BN67" s="14">
        <v>4</v>
      </c>
      <c r="BO67" s="14">
        <v>0</v>
      </c>
      <c r="BP67" s="19">
        <v>0</v>
      </c>
      <c r="BQ67" s="18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11"/>
      <c r="CE67" s="15"/>
      <c r="CF67" s="15"/>
      <c r="CG67" s="15"/>
      <c r="CH67" s="15"/>
      <c r="CI67" s="15"/>
      <c r="CJ67" s="15"/>
      <c r="CK67" s="15"/>
      <c r="CL67" s="74"/>
      <c r="CM67" s="74"/>
      <c r="CN67" s="74"/>
      <c r="CO67" s="15"/>
      <c r="CP67" s="15"/>
      <c r="CQ67" s="104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11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11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11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11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47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11"/>
      <c r="FR67" s="103"/>
      <c r="GA67" s="34"/>
    </row>
    <row r="68" spans="1:183" x14ac:dyDescent="0.25">
      <c r="A68" s="6"/>
      <c r="B68" s="27" t="s">
        <v>405</v>
      </c>
      <c r="C68" s="4" t="s">
        <v>404</v>
      </c>
      <c r="D68" s="137">
        <f t="shared" si="20"/>
        <v>1.5</v>
      </c>
      <c r="E68" s="137">
        <v>0</v>
      </c>
      <c r="F68" s="137">
        <v>2</v>
      </c>
      <c r="G68" s="137">
        <v>2</v>
      </c>
      <c r="H68" s="137">
        <v>2</v>
      </c>
      <c r="I68" s="4"/>
      <c r="J68" s="4"/>
      <c r="K68" s="4"/>
      <c r="L68" s="4"/>
      <c r="M68" s="4"/>
      <c r="N68" s="4"/>
      <c r="O68" s="4"/>
      <c r="P68" s="178"/>
      <c r="Q68" s="158">
        <f t="shared" si="21"/>
        <v>1.9</v>
      </c>
      <c r="R68" s="137">
        <v>0</v>
      </c>
      <c r="S68" s="137">
        <v>0</v>
      </c>
      <c r="T68" s="137">
        <v>3</v>
      </c>
      <c r="U68" s="137">
        <v>3</v>
      </c>
      <c r="V68" s="137">
        <v>0</v>
      </c>
      <c r="W68" s="137">
        <v>2</v>
      </c>
      <c r="X68" s="137">
        <v>3</v>
      </c>
      <c r="Y68" s="137">
        <v>4</v>
      </c>
      <c r="Z68" s="137">
        <v>2</v>
      </c>
      <c r="AA68" s="137">
        <v>2</v>
      </c>
      <c r="AB68" s="137">
        <v>0</v>
      </c>
      <c r="AC68" s="140">
        <v>0</v>
      </c>
      <c r="AD68" s="158">
        <v>0.1</v>
      </c>
      <c r="AE68" s="99"/>
      <c r="AF68" s="134"/>
      <c r="AG68" s="134"/>
      <c r="AH68" s="134"/>
      <c r="AI68" s="134"/>
      <c r="AJ68" s="134"/>
      <c r="AK68" s="134"/>
      <c r="AL68" s="137">
        <v>0</v>
      </c>
      <c r="AM68" s="137">
        <v>0</v>
      </c>
      <c r="AN68" s="137">
        <v>1</v>
      </c>
      <c r="AO68" s="137">
        <v>0</v>
      </c>
      <c r="AP68" s="140">
        <v>0</v>
      </c>
      <c r="AQ68" s="130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31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9"/>
      <c r="BQ68" s="131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01"/>
      <c r="CE68" s="14"/>
      <c r="CF68" s="14"/>
      <c r="CG68" s="14"/>
      <c r="CH68" s="14"/>
      <c r="CI68" s="14"/>
      <c r="CJ68" s="14"/>
      <c r="CK68" s="14"/>
      <c r="CL68" s="71"/>
      <c r="CM68" s="71"/>
      <c r="CN68" s="71"/>
      <c r="CO68" s="14"/>
      <c r="CP68" s="14"/>
      <c r="CQ68" s="99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01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01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6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14"/>
      <c r="FR68" s="108"/>
      <c r="GA68" s="34"/>
    </row>
    <row r="69" spans="1:183" x14ac:dyDescent="0.25">
      <c r="A69" s="6" t="s">
        <v>295</v>
      </c>
      <c r="B69" s="25" t="s">
        <v>296</v>
      </c>
      <c r="C69" s="1" t="s">
        <v>294</v>
      </c>
      <c r="D69" s="141">
        <f t="shared" si="20"/>
        <v>22</v>
      </c>
      <c r="E69" s="141">
        <v>5</v>
      </c>
      <c r="F69" s="141">
        <v>27</v>
      </c>
      <c r="G69" s="141">
        <v>28</v>
      </c>
      <c r="H69" s="141">
        <v>28</v>
      </c>
      <c r="P69" s="77"/>
      <c r="Q69" s="159">
        <f t="shared" si="21"/>
        <v>11.124000000000001</v>
      </c>
      <c r="R69" s="141">
        <v>0</v>
      </c>
      <c r="S69" s="141">
        <v>12</v>
      </c>
      <c r="T69" s="141">
        <v>13</v>
      </c>
      <c r="U69" s="141">
        <v>14</v>
      </c>
      <c r="V69" s="141">
        <v>11</v>
      </c>
      <c r="W69" s="141">
        <v>13</v>
      </c>
      <c r="X69" s="141">
        <v>10.56</v>
      </c>
      <c r="Y69" s="141">
        <v>8.56</v>
      </c>
      <c r="Z69" s="141">
        <v>12.56</v>
      </c>
      <c r="AA69" s="141">
        <v>16.559999999999999</v>
      </c>
      <c r="AB69" s="141">
        <v>0</v>
      </c>
      <c r="AC69" s="154">
        <v>0</v>
      </c>
      <c r="AD69" s="159">
        <v>36.799999999999997</v>
      </c>
      <c r="AE69" s="141">
        <v>0</v>
      </c>
      <c r="AF69" s="141">
        <v>35</v>
      </c>
      <c r="AG69" s="141">
        <v>40</v>
      </c>
      <c r="AH69" s="141">
        <v>40</v>
      </c>
      <c r="AI69" s="141">
        <v>23</v>
      </c>
      <c r="AJ69" s="141">
        <v>42</v>
      </c>
      <c r="AK69" s="141">
        <v>42</v>
      </c>
      <c r="AL69" s="141">
        <v>31</v>
      </c>
      <c r="AM69" s="141">
        <v>47</v>
      </c>
      <c r="AN69" s="141">
        <v>47</v>
      </c>
      <c r="AO69" s="141">
        <v>21</v>
      </c>
      <c r="AP69" s="154">
        <v>0</v>
      </c>
      <c r="AQ69" s="9">
        <f t="shared" si="22"/>
        <v>27.534000000000002</v>
      </c>
      <c r="AR69" s="3">
        <v>0</v>
      </c>
      <c r="AS69" s="3">
        <v>23</v>
      </c>
      <c r="AT69" s="3">
        <v>37.78</v>
      </c>
      <c r="AU69" s="3">
        <v>29.78</v>
      </c>
      <c r="AV69" s="3">
        <v>21.78</v>
      </c>
      <c r="AW69" s="3">
        <v>33</v>
      </c>
      <c r="AX69" s="3">
        <v>31</v>
      </c>
      <c r="AY69" s="3">
        <v>28</v>
      </c>
      <c r="AZ69" s="3">
        <v>35</v>
      </c>
      <c r="BA69" s="3">
        <v>36</v>
      </c>
      <c r="BB69" s="3">
        <v>0</v>
      </c>
      <c r="BC69" s="20">
        <v>0</v>
      </c>
      <c r="BD69" s="117">
        <v>17.212</v>
      </c>
      <c r="BE69" s="3">
        <v>14</v>
      </c>
      <c r="BF69" s="3">
        <v>18</v>
      </c>
      <c r="BG69" s="3">
        <v>19</v>
      </c>
      <c r="BH69" s="3">
        <v>18</v>
      </c>
      <c r="BI69" s="3">
        <v>16</v>
      </c>
      <c r="BJ69" s="3">
        <v>17</v>
      </c>
      <c r="BK69" s="3">
        <v>14</v>
      </c>
      <c r="BL69" s="3">
        <v>13</v>
      </c>
      <c r="BM69" s="3">
        <v>23.56</v>
      </c>
      <c r="BN69" s="3">
        <v>19.559999999999999</v>
      </c>
      <c r="BO69" s="3">
        <v>0</v>
      </c>
      <c r="BP69" s="20">
        <v>0</v>
      </c>
      <c r="BQ69" s="65">
        <v>23.012</v>
      </c>
      <c r="BR69" s="3">
        <v>0</v>
      </c>
      <c r="BS69" s="3">
        <v>14</v>
      </c>
      <c r="BT69" s="3">
        <v>23</v>
      </c>
      <c r="BU69" s="3">
        <v>29.78</v>
      </c>
      <c r="BV69" s="3">
        <v>30</v>
      </c>
      <c r="BW69" s="3">
        <v>33.78</v>
      </c>
      <c r="BX69" s="3">
        <v>23</v>
      </c>
      <c r="BY69" s="3">
        <v>23</v>
      </c>
      <c r="BZ69" s="3">
        <v>21.779999999999998</v>
      </c>
      <c r="CA69" s="3">
        <v>22.78</v>
      </c>
      <c r="CB69" s="3">
        <v>4</v>
      </c>
      <c r="CC69" s="3">
        <v>5</v>
      </c>
      <c r="CD69" s="16">
        <v>12.638999999999999</v>
      </c>
      <c r="CE69" s="3">
        <v>8</v>
      </c>
      <c r="CF69" s="3">
        <v>9</v>
      </c>
      <c r="CG69" s="3">
        <v>11</v>
      </c>
      <c r="CH69" s="3">
        <v>8</v>
      </c>
      <c r="CI69" s="3">
        <v>10</v>
      </c>
      <c r="CJ69" s="3">
        <v>13</v>
      </c>
      <c r="CK69" s="3">
        <v>21</v>
      </c>
      <c r="CL69" s="66">
        <v>12.13</v>
      </c>
      <c r="CM69" s="66">
        <v>12.13</v>
      </c>
      <c r="CN69" s="66">
        <v>12.13</v>
      </c>
      <c r="CO69" s="3">
        <v>5</v>
      </c>
      <c r="CP69" s="3">
        <v>5</v>
      </c>
      <c r="CQ69" s="3">
        <v>12.4</v>
      </c>
      <c r="CR69" s="3">
        <v>5</v>
      </c>
      <c r="CS69" s="3">
        <v>9</v>
      </c>
      <c r="CT69" s="3">
        <v>13</v>
      </c>
      <c r="CU69" s="3">
        <v>13</v>
      </c>
      <c r="CV69" s="3">
        <v>16</v>
      </c>
      <c r="CW69" s="3">
        <v>11</v>
      </c>
      <c r="CX69" s="3">
        <v>15</v>
      </c>
      <c r="CY69" s="3">
        <v>14</v>
      </c>
      <c r="CZ69" s="3">
        <v>14</v>
      </c>
      <c r="DA69" s="3">
        <v>14</v>
      </c>
      <c r="DB69" s="3">
        <v>0</v>
      </c>
      <c r="DC69" s="3">
        <v>0</v>
      </c>
      <c r="DD69" s="16">
        <v>3</v>
      </c>
      <c r="DE69" s="3"/>
      <c r="DF69" s="3"/>
      <c r="DG69" s="3"/>
      <c r="DH69" s="3"/>
      <c r="DI69" s="3"/>
      <c r="DJ69" s="3"/>
      <c r="DL69" s="3">
        <v>10</v>
      </c>
      <c r="DM69" s="3">
        <v>10</v>
      </c>
      <c r="DN69" s="3">
        <v>10</v>
      </c>
      <c r="DO69" s="3">
        <v>0</v>
      </c>
      <c r="DP69" s="3">
        <v>0</v>
      </c>
      <c r="DQ69" s="77"/>
      <c r="ED69" s="72"/>
      <c r="EQ69" s="109"/>
      <c r="FC69" s="1"/>
      <c r="FD69" s="102"/>
      <c r="FF69" s="1"/>
      <c r="FQ69" s="109"/>
      <c r="FR69" s="102"/>
      <c r="GA69" s="34"/>
    </row>
    <row r="70" spans="1:183" x14ac:dyDescent="0.25">
      <c r="A70" s="6" t="s">
        <v>270</v>
      </c>
      <c r="B70" s="25" t="s">
        <v>272</v>
      </c>
      <c r="C70" s="1" t="s">
        <v>271</v>
      </c>
      <c r="D70" s="141">
        <f t="shared" si="20"/>
        <v>108</v>
      </c>
      <c r="E70" s="141">
        <v>58</v>
      </c>
      <c r="F70" s="141">
        <v>109</v>
      </c>
      <c r="G70" s="141">
        <v>154</v>
      </c>
      <c r="H70" s="141">
        <v>111</v>
      </c>
      <c r="P70" s="77"/>
      <c r="Q70" s="159">
        <f t="shared" si="21"/>
        <v>127.7</v>
      </c>
      <c r="R70" s="141">
        <v>157</v>
      </c>
      <c r="S70" s="141">
        <v>126</v>
      </c>
      <c r="T70" s="141">
        <v>140</v>
      </c>
      <c r="U70" s="141">
        <v>123</v>
      </c>
      <c r="V70" s="141">
        <v>80</v>
      </c>
      <c r="W70" s="141">
        <v>100</v>
      </c>
      <c r="X70" s="141">
        <v>91</v>
      </c>
      <c r="Y70" s="141">
        <v>119</v>
      </c>
      <c r="Z70" s="141">
        <v>142</v>
      </c>
      <c r="AA70" s="141">
        <v>113</v>
      </c>
      <c r="AB70" s="141">
        <v>86</v>
      </c>
      <c r="AC70" s="154">
        <v>0</v>
      </c>
      <c r="AD70" s="159">
        <v>98.3</v>
      </c>
      <c r="AE70" s="141">
        <v>41</v>
      </c>
      <c r="AF70" s="141">
        <v>82</v>
      </c>
      <c r="AG70" s="141">
        <v>92</v>
      </c>
      <c r="AH70" s="141">
        <v>73</v>
      </c>
      <c r="AI70" s="141">
        <v>70</v>
      </c>
      <c r="AJ70" s="141">
        <v>100</v>
      </c>
      <c r="AK70" s="141">
        <v>103</v>
      </c>
      <c r="AL70" s="141">
        <v>98</v>
      </c>
      <c r="AM70" s="141">
        <v>115</v>
      </c>
      <c r="AN70" s="141">
        <v>105</v>
      </c>
      <c r="AO70" s="141">
        <v>68</v>
      </c>
      <c r="AP70" s="154">
        <v>36</v>
      </c>
      <c r="AQ70" s="9">
        <f t="shared" si="22"/>
        <v>60.6</v>
      </c>
      <c r="AR70" s="3">
        <v>41</v>
      </c>
      <c r="AS70" s="3">
        <v>53</v>
      </c>
      <c r="AT70" s="3">
        <v>48</v>
      </c>
      <c r="AU70" s="3">
        <v>37</v>
      </c>
      <c r="AV70" s="3">
        <v>39</v>
      </c>
      <c r="AW70" s="3">
        <v>55</v>
      </c>
      <c r="AX70" s="3">
        <v>60</v>
      </c>
      <c r="AY70" s="3">
        <v>65</v>
      </c>
      <c r="AZ70" s="3">
        <v>68</v>
      </c>
      <c r="BA70" s="3">
        <v>62</v>
      </c>
      <c r="BB70" s="3">
        <v>40</v>
      </c>
      <c r="BC70" s="20">
        <v>38</v>
      </c>
      <c r="BD70" s="117">
        <v>39.4</v>
      </c>
      <c r="BE70" s="3">
        <v>27</v>
      </c>
      <c r="BF70" s="3">
        <v>32</v>
      </c>
      <c r="BG70" s="3">
        <v>25</v>
      </c>
      <c r="BH70" s="3">
        <v>30</v>
      </c>
      <c r="BI70" s="3">
        <v>29</v>
      </c>
      <c r="BJ70" s="3">
        <v>27</v>
      </c>
      <c r="BK70" s="3">
        <v>33</v>
      </c>
      <c r="BL70" s="3">
        <v>45</v>
      </c>
      <c r="BM70" s="3">
        <v>42</v>
      </c>
      <c r="BN70" s="3">
        <v>41</v>
      </c>
      <c r="BO70" s="3">
        <v>38</v>
      </c>
      <c r="BP70" s="20">
        <v>25</v>
      </c>
      <c r="BQ70" s="65">
        <v>37.6</v>
      </c>
      <c r="BR70" s="3">
        <v>27</v>
      </c>
      <c r="BS70" s="3">
        <v>29</v>
      </c>
      <c r="BT70" s="3">
        <v>30</v>
      </c>
      <c r="BU70" s="3">
        <v>33</v>
      </c>
      <c r="BV70" s="3">
        <v>32</v>
      </c>
      <c r="BW70" s="3">
        <v>34</v>
      </c>
      <c r="BX70" s="3">
        <v>36</v>
      </c>
      <c r="BY70" s="3">
        <v>36</v>
      </c>
      <c r="BZ70" s="3">
        <v>37</v>
      </c>
      <c r="CA70" s="3">
        <v>40</v>
      </c>
      <c r="CB70" s="3">
        <v>29</v>
      </c>
      <c r="CC70" s="3">
        <v>13</v>
      </c>
      <c r="CD70" s="16">
        <v>40.013999999999996</v>
      </c>
      <c r="CE70" s="3">
        <v>25</v>
      </c>
      <c r="CF70" s="3">
        <v>28</v>
      </c>
      <c r="CG70" s="3">
        <v>39</v>
      </c>
      <c r="CH70" s="3">
        <v>39</v>
      </c>
      <c r="CI70" s="3">
        <v>40</v>
      </c>
      <c r="CJ70" s="3">
        <v>42</v>
      </c>
      <c r="CK70" s="3">
        <v>47</v>
      </c>
      <c r="CL70" s="66">
        <v>45.16</v>
      </c>
      <c r="CM70" s="66">
        <v>46</v>
      </c>
      <c r="CN70" s="66">
        <v>43.98</v>
      </c>
      <c r="CO70" s="3">
        <v>1</v>
      </c>
      <c r="CP70" s="3">
        <v>4</v>
      </c>
      <c r="CQ70" s="3">
        <v>16.7</v>
      </c>
      <c r="CR70" s="3">
        <v>0</v>
      </c>
      <c r="CS70" s="3">
        <v>7</v>
      </c>
      <c r="CT70" s="3">
        <v>13</v>
      </c>
      <c r="CU70" s="3">
        <v>12</v>
      </c>
      <c r="CV70" s="3">
        <v>10</v>
      </c>
      <c r="CW70" s="3">
        <v>20</v>
      </c>
      <c r="CX70" s="3">
        <v>9</v>
      </c>
      <c r="CY70" s="3">
        <v>21</v>
      </c>
      <c r="CZ70" s="3">
        <v>21</v>
      </c>
      <c r="DA70" s="3">
        <v>20</v>
      </c>
      <c r="DB70" s="3">
        <v>19</v>
      </c>
      <c r="DC70" s="3">
        <v>15</v>
      </c>
      <c r="DD70" s="16">
        <v>5</v>
      </c>
      <c r="DE70" s="3">
        <v>0</v>
      </c>
      <c r="DF70" s="3">
        <v>0</v>
      </c>
      <c r="DG70" s="3">
        <v>2</v>
      </c>
      <c r="DH70" s="3">
        <v>7</v>
      </c>
      <c r="DI70" s="3">
        <v>6</v>
      </c>
      <c r="DJ70" s="3">
        <v>8</v>
      </c>
      <c r="DK70" s="3">
        <v>7</v>
      </c>
      <c r="DL70" s="3">
        <v>7</v>
      </c>
      <c r="DM70" s="3">
        <v>6</v>
      </c>
      <c r="DN70" s="3">
        <v>7</v>
      </c>
      <c r="DO70" s="3">
        <v>0</v>
      </c>
      <c r="DP70" s="3">
        <v>0</v>
      </c>
      <c r="DQ70" s="20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16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90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119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90"/>
      <c r="FR70" s="102"/>
      <c r="GA70" s="34"/>
    </row>
    <row r="71" spans="1:183" x14ac:dyDescent="0.25">
      <c r="A71" s="5" t="s">
        <v>158</v>
      </c>
      <c r="B71" s="68" t="s">
        <v>59</v>
      </c>
      <c r="C71" s="1" t="s">
        <v>2</v>
      </c>
      <c r="D71" s="141">
        <f t="shared" si="20"/>
        <v>332.95</v>
      </c>
      <c r="E71" s="141">
        <v>311.33</v>
      </c>
      <c r="F71" s="141">
        <v>342.27</v>
      </c>
      <c r="G71" s="141">
        <v>353.51</v>
      </c>
      <c r="H71" s="141">
        <v>324.69</v>
      </c>
      <c r="P71" s="77"/>
      <c r="Q71" s="159">
        <f t="shared" si="21"/>
        <v>330.077</v>
      </c>
      <c r="R71" s="141">
        <v>294.62</v>
      </c>
      <c r="S71" s="141">
        <v>315.18</v>
      </c>
      <c r="T71" s="141">
        <v>328.46999999999997</v>
      </c>
      <c r="U71" s="141">
        <v>311.13</v>
      </c>
      <c r="V71" s="141">
        <v>313.41000000000003</v>
      </c>
      <c r="W71" s="141">
        <v>313.08999999999997</v>
      </c>
      <c r="X71" s="141">
        <v>306.37</v>
      </c>
      <c r="Y71" s="141">
        <v>328.06</v>
      </c>
      <c r="Z71" s="141">
        <v>322.14999999999998</v>
      </c>
      <c r="AA71" s="141">
        <v>299.78000000000003</v>
      </c>
      <c r="AB71" s="141">
        <v>143.68</v>
      </c>
      <c r="AC71" s="154">
        <v>24.83</v>
      </c>
      <c r="AD71" s="159">
        <v>424.87399999999997</v>
      </c>
      <c r="AE71" s="141">
        <v>382.09</v>
      </c>
      <c r="AF71" s="141">
        <v>419.15000000000003</v>
      </c>
      <c r="AG71" s="141">
        <v>447.88</v>
      </c>
      <c r="AH71" s="141">
        <v>419.99</v>
      </c>
      <c r="AI71" s="141">
        <v>395.93</v>
      </c>
      <c r="AJ71" s="141">
        <v>423.77</v>
      </c>
      <c r="AK71" s="141">
        <v>402.64000000000004</v>
      </c>
      <c r="AL71" s="141">
        <v>416.47999999999996</v>
      </c>
      <c r="AM71" s="141">
        <v>396.25</v>
      </c>
      <c r="AN71" s="141">
        <v>383.93</v>
      </c>
      <c r="AO71" s="141">
        <v>140.57999999999998</v>
      </c>
      <c r="AP71" s="154">
        <v>20.05</v>
      </c>
      <c r="AQ71" s="9">
        <f t="shared" si="22"/>
        <v>356.96000000000004</v>
      </c>
      <c r="AR71" s="3">
        <v>235.23000000000002</v>
      </c>
      <c r="AS71" s="3">
        <v>282.60000000000002</v>
      </c>
      <c r="AT71" s="3">
        <v>329.79</v>
      </c>
      <c r="AU71" s="3">
        <v>306.95</v>
      </c>
      <c r="AV71" s="3">
        <v>303.07</v>
      </c>
      <c r="AW71" s="3">
        <v>335.86</v>
      </c>
      <c r="AX71" s="3">
        <v>359.34999999999997</v>
      </c>
      <c r="AY71" s="3">
        <v>411.99</v>
      </c>
      <c r="AZ71" s="3">
        <v>388.41999999999996</v>
      </c>
      <c r="BA71" s="3">
        <v>424.32</v>
      </c>
      <c r="BB71" s="3">
        <v>168.34</v>
      </c>
      <c r="BC71" s="20">
        <v>23.68</v>
      </c>
      <c r="BD71" s="117">
        <v>239.55500000000001</v>
      </c>
      <c r="BE71" s="3">
        <v>132.28</v>
      </c>
      <c r="BF71" s="3">
        <v>188.07</v>
      </c>
      <c r="BG71" s="3">
        <v>205.85</v>
      </c>
      <c r="BH71" s="3">
        <v>217.04</v>
      </c>
      <c r="BI71" s="3">
        <v>225.62</v>
      </c>
      <c r="BJ71" s="3">
        <v>234.44</v>
      </c>
      <c r="BK71" s="3">
        <v>219.94</v>
      </c>
      <c r="BL71" s="3">
        <v>276.53000000000003</v>
      </c>
      <c r="BM71" s="3">
        <v>281.63</v>
      </c>
      <c r="BN71" s="3">
        <v>278.86999999999995</v>
      </c>
      <c r="BO71" s="3">
        <v>112.96</v>
      </c>
      <c r="BP71" s="20">
        <v>22.32</v>
      </c>
      <c r="BQ71" s="65">
        <v>199.148</v>
      </c>
      <c r="BR71" s="3">
        <v>182.75</v>
      </c>
      <c r="BS71" s="3">
        <v>159.03</v>
      </c>
      <c r="BT71" s="3">
        <v>165.67000000000002</v>
      </c>
      <c r="BU71" s="3">
        <v>161.28</v>
      </c>
      <c r="BV71" s="3">
        <v>180.32</v>
      </c>
      <c r="BW71" s="3">
        <v>207.04999999999998</v>
      </c>
      <c r="BX71" s="3">
        <v>196.22</v>
      </c>
      <c r="BY71" s="3">
        <v>209.41</v>
      </c>
      <c r="BZ71" s="3">
        <v>188.04999999999998</v>
      </c>
      <c r="CA71" s="3">
        <v>211.23999999999998</v>
      </c>
      <c r="CB71" s="3">
        <v>114.55000000000001</v>
      </c>
      <c r="CC71" s="3">
        <v>15.91</v>
      </c>
      <c r="CD71" s="16">
        <v>307.84599999999989</v>
      </c>
      <c r="CE71" s="3">
        <v>236.76</v>
      </c>
      <c r="CF71" s="3">
        <v>298.65999999999997</v>
      </c>
      <c r="CG71" s="3">
        <v>282.69</v>
      </c>
      <c r="CH71" s="3">
        <v>282.52</v>
      </c>
      <c r="CI71" s="3">
        <v>261.13</v>
      </c>
      <c r="CJ71" s="3">
        <v>271.65999999999997</v>
      </c>
      <c r="CK71" s="3">
        <v>262.37</v>
      </c>
      <c r="CL71" s="66">
        <v>346.51</v>
      </c>
      <c r="CM71" s="66">
        <v>350.34</v>
      </c>
      <c r="CN71" s="66">
        <v>323.24</v>
      </c>
      <c r="CO71" s="3">
        <v>143.1</v>
      </c>
      <c r="CP71" s="3">
        <v>19.479999999999997</v>
      </c>
      <c r="CQ71" s="3">
        <v>292.98899999999998</v>
      </c>
      <c r="CR71" s="3">
        <v>238.84</v>
      </c>
      <c r="CS71" s="3">
        <v>306.5</v>
      </c>
      <c r="CT71" s="3">
        <v>315.15999999999997</v>
      </c>
      <c r="CU71" s="3">
        <v>292.45999999999998</v>
      </c>
      <c r="CV71" s="3">
        <v>263.98</v>
      </c>
      <c r="CW71" s="3">
        <v>290.10000000000002</v>
      </c>
      <c r="CX71" s="3">
        <v>222.17000000000002</v>
      </c>
      <c r="CY71" s="3">
        <v>284.57000000000005</v>
      </c>
      <c r="CZ71" s="3">
        <v>287.89</v>
      </c>
      <c r="DA71" s="3">
        <v>265.74</v>
      </c>
      <c r="DB71" s="3">
        <v>135.17000000000002</v>
      </c>
      <c r="DC71" s="3">
        <v>27.310000000000002</v>
      </c>
      <c r="DD71" s="16">
        <v>356.35599999999999</v>
      </c>
      <c r="DE71" s="3">
        <v>258.74</v>
      </c>
      <c r="DF71" s="3">
        <v>357.36</v>
      </c>
      <c r="DG71" s="3">
        <v>365.87</v>
      </c>
      <c r="DH71" s="3">
        <v>329.78999999999996</v>
      </c>
      <c r="DI71" s="3">
        <v>307.58999999999997</v>
      </c>
      <c r="DJ71" s="3">
        <v>334.79999999999995</v>
      </c>
      <c r="DK71" s="3">
        <v>315.91000000000003</v>
      </c>
      <c r="DL71" s="3">
        <v>354.38</v>
      </c>
      <c r="DM71" s="3">
        <v>339.84999999999997</v>
      </c>
      <c r="DN71" s="3">
        <v>321.61</v>
      </c>
      <c r="DO71" s="3">
        <v>175.69</v>
      </c>
      <c r="DP71" s="3">
        <v>101.97000000000001</v>
      </c>
      <c r="DQ71" s="20">
        <v>353.80000000000007</v>
      </c>
      <c r="DR71" s="3">
        <v>259.12</v>
      </c>
      <c r="DS71" s="3">
        <v>333.92</v>
      </c>
      <c r="DT71" s="3">
        <v>357.19000000000005</v>
      </c>
      <c r="DU71" s="3">
        <v>347.13</v>
      </c>
      <c r="DV71" s="3">
        <v>305.12</v>
      </c>
      <c r="DW71" s="3">
        <v>334.26</v>
      </c>
      <c r="DX71" s="3">
        <v>301.62</v>
      </c>
      <c r="DY71" s="3">
        <v>345.73</v>
      </c>
      <c r="DZ71" s="3">
        <v>340.92</v>
      </c>
      <c r="EA71" s="3">
        <v>311.71000000000004</v>
      </c>
      <c r="EB71" s="3">
        <v>195.38</v>
      </c>
      <c r="EC71" s="3">
        <v>105.89999999999999</v>
      </c>
      <c r="ED71" s="16">
        <f t="shared" si="16"/>
        <v>399.29599999999994</v>
      </c>
      <c r="EE71" s="3">
        <v>179</v>
      </c>
      <c r="EF71" s="3">
        <v>365.09999999999997</v>
      </c>
      <c r="EG71" s="3">
        <v>418.39</v>
      </c>
      <c r="EH71" s="3">
        <v>372.16</v>
      </c>
      <c r="EI71" s="3">
        <v>349.57</v>
      </c>
      <c r="EJ71" s="3">
        <v>378.76</v>
      </c>
      <c r="EK71" s="3">
        <v>373.84000000000003</v>
      </c>
      <c r="EL71" s="3">
        <v>397.14</v>
      </c>
      <c r="EM71" s="3">
        <v>382.52000000000004</v>
      </c>
      <c r="EN71" s="3">
        <v>363.03000000000003</v>
      </c>
      <c r="EO71" s="3">
        <v>246.77</v>
      </c>
      <c r="EP71" s="3">
        <v>166.68</v>
      </c>
      <c r="EQ71" s="20">
        <f t="shared" si="23"/>
        <v>355.11800000000005</v>
      </c>
      <c r="ER71" s="3">
        <v>265.25</v>
      </c>
      <c r="ES71" s="3">
        <v>285.24</v>
      </c>
      <c r="ET71" s="3">
        <v>319.51</v>
      </c>
      <c r="EU71" s="3">
        <v>328.27000000000004</v>
      </c>
      <c r="EV71" s="3">
        <v>305.14</v>
      </c>
      <c r="EW71" s="3">
        <v>380.25</v>
      </c>
      <c r="EX71" s="3">
        <v>348.5</v>
      </c>
      <c r="EY71" s="3">
        <v>366.34</v>
      </c>
      <c r="EZ71" s="3">
        <v>333.09</v>
      </c>
      <c r="FA71" s="3">
        <v>302.48</v>
      </c>
      <c r="FB71" s="3">
        <v>185.77</v>
      </c>
      <c r="FC71" s="3">
        <v>131.34</v>
      </c>
      <c r="FD71" s="120">
        <f t="shared" si="9"/>
        <v>446.07399999999996</v>
      </c>
      <c r="FE71" s="3">
        <v>409.90999999999997</v>
      </c>
      <c r="FF71" s="3">
        <v>462.85</v>
      </c>
      <c r="FG71" s="3">
        <v>503.83</v>
      </c>
      <c r="FH71" s="3">
        <v>458.37</v>
      </c>
      <c r="FI71" s="3">
        <v>359.68</v>
      </c>
      <c r="FJ71" s="3">
        <v>401.49</v>
      </c>
      <c r="FK71" s="3">
        <v>381.22</v>
      </c>
      <c r="FL71" s="3">
        <v>379.66</v>
      </c>
      <c r="FM71" s="3">
        <v>394.88</v>
      </c>
      <c r="FN71" s="3">
        <v>382.47</v>
      </c>
      <c r="FO71" s="3">
        <v>170.9</v>
      </c>
      <c r="FP71" s="3">
        <v>155.47999999999999</v>
      </c>
      <c r="FQ71" s="20">
        <v>437.28199999999998</v>
      </c>
      <c r="FR71" s="16">
        <f>+(SUM(FS71:FZ71))/10</f>
        <v>25.083999999999996</v>
      </c>
      <c r="FX71" s="3">
        <v>67.83</v>
      </c>
      <c r="FY71" s="3">
        <v>82.5</v>
      </c>
      <c r="FZ71" s="3">
        <v>100.51</v>
      </c>
      <c r="GA71" s="34"/>
    </row>
    <row r="72" spans="1:183" x14ac:dyDescent="0.25">
      <c r="A72" s="5"/>
      <c r="B72" s="25" t="s">
        <v>421</v>
      </c>
      <c r="C72" s="1" t="s">
        <v>420</v>
      </c>
      <c r="D72" s="141">
        <f t="shared" si="20"/>
        <v>0.5</v>
      </c>
      <c r="E72" s="141">
        <v>0</v>
      </c>
      <c r="F72" s="141">
        <v>1</v>
      </c>
      <c r="G72" s="141">
        <v>1</v>
      </c>
      <c r="H72" s="141">
        <v>0</v>
      </c>
      <c r="P72" s="77"/>
      <c r="Q72" s="159">
        <f t="shared" si="21"/>
        <v>1.8</v>
      </c>
      <c r="R72" s="141">
        <v>0</v>
      </c>
      <c r="S72" s="141">
        <v>0</v>
      </c>
      <c r="T72" s="141">
        <v>1</v>
      </c>
      <c r="U72" s="141">
        <v>3</v>
      </c>
      <c r="V72" s="141">
        <v>2</v>
      </c>
      <c r="W72" s="141">
        <v>4</v>
      </c>
      <c r="X72" s="141">
        <v>3</v>
      </c>
      <c r="Y72" s="141">
        <v>3</v>
      </c>
      <c r="Z72" s="141">
        <v>1</v>
      </c>
      <c r="AA72" s="141">
        <v>1</v>
      </c>
      <c r="AB72" s="141">
        <v>0</v>
      </c>
      <c r="AC72" s="154">
        <v>0</v>
      </c>
      <c r="AD72" s="89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90"/>
      <c r="AQ72" s="89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90"/>
      <c r="BD72" s="129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90"/>
      <c r="BQ72" s="113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91"/>
      <c r="CE72" s="87"/>
      <c r="CF72" s="87"/>
      <c r="CG72" s="87"/>
      <c r="CH72" s="87"/>
      <c r="CI72" s="87"/>
      <c r="CJ72" s="87"/>
      <c r="CK72" s="87"/>
      <c r="CL72" s="92"/>
      <c r="CM72" s="92"/>
      <c r="CN72" s="92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91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90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91"/>
      <c r="EE72" s="87"/>
      <c r="EF72" s="87"/>
      <c r="EG72" s="87"/>
      <c r="EH72" s="87"/>
      <c r="EI72" s="87"/>
      <c r="EJ72" s="87"/>
      <c r="EK72" s="87"/>
      <c r="EL72" s="87"/>
      <c r="EM72" s="87"/>
      <c r="EN72" s="87"/>
      <c r="EO72" s="87"/>
      <c r="EP72" s="87"/>
      <c r="EQ72" s="90"/>
      <c r="ER72" s="87"/>
      <c r="ES72" s="87"/>
      <c r="ET72" s="87"/>
      <c r="EU72" s="87"/>
      <c r="EV72" s="87"/>
      <c r="EW72" s="87"/>
      <c r="EX72" s="87"/>
      <c r="EY72" s="87"/>
      <c r="EZ72" s="87"/>
      <c r="FA72" s="87"/>
      <c r="FB72" s="87"/>
      <c r="FC72" s="87"/>
      <c r="FD72" s="119"/>
      <c r="FE72" s="87"/>
      <c r="FF72" s="87"/>
      <c r="FG72" s="87"/>
      <c r="FH72" s="87"/>
      <c r="FI72" s="87"/>
      <c r="FJ72" s="87"/>
      <c r="FK72" s="87"/>
      <c r="FL72" s="87"/>
      <c r="FM72" s="87"/>
      <c r="FN72" s="87"/>
      <c r="FO72" s="87"/>
      <c r="FP72" s="87"/>
      <c r="FQ72" s="90"/>
      <c r="FR72" s="91"/>
      <c r="FX72" s="3"/>
      <c r="FY72" s="3"/>
      <c r="FZ72" s="3"/>
      <c r="GA72" s="34"/>
    </row>
    <row r="73" spans="1:183" x14ac:dyDescent="0.25">
      <c r="A73" s="6" t="s">
        <v>250</v>
      </c>
      <c r="B73" s="25" t="s">
        <v>249</v>
      </c>
      <c r="C73" s="1" t="s">
        <v>248</v>
      </c>
      <c r="D73" s="141">
        <f t="shared" si="20"/>
        <v>6</v>
      </c>
      <c r="E73" s="141">
        <v>5</v>
      </c>
      <c r="F73" s="141">
        <v>6</v>
      </c>
      <c r="G73" s="141">
        <v>6</v>
      </c>
      <c r="H73" s="141">
        <v>7</v>
      </c>
      <c r="P73" s="77"/>
      <c r="Q73" s="159">
        <f t="shared" si="21"/>
        <v>7.6</v>
      </c>
      <c r="R73" s="141">
        <v>3</v>
      </c>
      <c r="S73" s="141">
        <v>5</v>
      </c>
      <c r="T73" s="141">
        <v>5</v>
      </c>
      <c r="U73" s="141">
        <v>6</v>
      </c>
      <c r="V73" s="141">
        <v>6</v>
      </c>
      <c r="W73" s="141">
        <v>6</v>
      </c>
      <c r="X73" s="141">
        <v>7</v>
      </c>
      <c r="Y73" s="141">
        <v>7</v>
      </c>
      <c r="Z73" s="141">
        <v>10</v>
      </c>
      <c r="AA73" s="141">
        <v>8</v>
      </c>
      <c r="AB73" s="141">
        <v>6</v>
      </c>
      <c r="AC73" s="154">
        <v>7</v>
      </c>
      <c r="AD73" s="159">
        <v>2</v>
      </c>
      <c r="AE73" s="141">
        <v>1</v>
      </c>
      <c r="AF73" s="141">
        <v>0</v>
      </c>
      <c r="AG73" s="141">
        <v>0</v>
      </c>
      <c r="AH73" s="141">
        <v>0</v>
      </c>
      <c r="AI73" s="141">
        <v>2</v>
      </c>
      <c r="AJ73" s="141">
        <v>5</v>
      </c>
      <c r="AK73" s="141">
        <v>4</v>
      </c>
      <c r="AL73" s="141">
        <v>5</v>
      </c>
      <c r="AM73" s="141">
        <v>2</v>
      </c>
      <c r="AN73" s="141">
        <v>1</v>
      </c>
      <c r="AO73" s="141">
        <v>0</v>
      </c>
      <c r="AP73" s="154">
        <v>0</v>
      </c>
      <c r="AQ73" s="9">
        <f t="shared" si="22"/>
        <v>1.9</v>
      </c>
      <c r="AR73" s="3">
        <v>0</v>
      </c>
      <c r="AS73" s="3">
        <v>4</v>
      </c>
      <c r="AT73" s="3">
        <v>3</v>
      </c>
      <c r="AU73" s="3">
        <v>3</v>
      </c>
      <c r="AV73" s="3">
        <v>2</v>
      </c>
      <c r="AW73" s="3">
        <v>3</v>
      </c>
      <c r="AX73" s="3">
        <v>2</v>
      </c>
      <c r="AY73" s="3">
        <v>1</v>
      </c>
      <c r="AZ73" s="3">
        <v>1</v>
      </c>
      <c r="BA73" s="3">
        <v>0</v>
      </c>
      <c r="BB73" s="3">
        <v>0</v>
      </c>
      <c r="BC73" s="20">
        <v>0</v>
      </c>
      <c r="BD73" s="117">
        <v>3.4</v>
      </c>
      <c r="BE73" s="3">
        <v>0</v>
      </c>
      <c r="BF73" s="3">
        <v>3</v>
      </c>
      <c r="BG73" s="3">
        <v>4</v>
      </c>
      <c r="BH73" s="3">
        <v>4</v>
      </c>
      <c r="BI73" s="3">
        <v>3</v>
      </c>
      <c r="BJ73" s="3">
        <v>3</v>
      </c>
      <c r="BK73" s="3">
        <v>4</v>
      </c>
      <c r="BL73" s="3">
        <v>6</v>
      </c>
      <c r="BM73" s="3">
        <v>2</v>
      </c>
      <c r="BN73" s="3">
        <v>5</v>
      </c>
      <c r="BO73" s="3">
        <v>0</v>
      </c>
      <c r="BP73" s="20">
        <v>0</v>
      </c>
      <c r="BQ73" s="65">
        <v>3.9</v>
      </c>
      <c r="BR73" s="3">
        <v>2</v>
      </c>
      <c r="BS73" s="3">
        <v>2</v>
      </c>
      <c r="BT73" s="3">
        <v>3</v>
      </c>
      <c r="BU73" s="3">
        <v>4</v>
      </c>
      <c r="BV73" s="3">
        <v>5</v>
      </c>
      <c r="BW73" s="3">
        <v>4</v>
      </c>
      <c r="BX73" s="3">
        <v>5</v>
      </c>
      <c r="BY73" s="3">
        <v>6</v>
      </c>
      <c r="BZ73" s="3">
        <v>5</v>
      </c>
      <c r="CA73" s="3">
        <v>3</v>
      </c>
      <c r="CB73" s="3">
        <v>0</v>
      </c>
      <c r="CC73" s="3">
        <v>0</v>
      </c>
      <c r="CD73" s="16">
        <v>3.4249999999999998</v>
      </c>
      <c r="CE73" s="3">
        <v>1</v>
      </c>
      <c r="CF73" s="3">
        <v>2</v>
      </c>
      <c r="CG73" s="3">
        <v>2</v>
      </c>
      <c r="CH73" s="3">
        <v>3</v>
      </c>
      <c r="CI73" s="3">
        <v>4</v>
      </c>
      <c r="CJ73" s="3">
        <v>5</v>
      </c>
      <c r="CK73" s="3">
        <v>6</v>
      </c>
      <c r="CL73" s="66">
        <v>3.75</v>
      </c>
      <c r="CM73" s="66">
        <v>5</v>
      </c>
      <c r="CN73" s="66">
        <v>2.5</v>
      </c>
      <c r="CO73" s="3">
        <v>0</v>
      </c>
      <c r="CP73" s="3">
        <v>0</v>
      </c>
      <c r="CQ73" s="3">
        <v>2.4</v>
      </c>
      <c r="CR73" s="3">
        <v>2</v>
      </c>
      <c r="CS73" s="3">
        <v>2</v>
      </c>
      <c r="CT73" s="3">
        <v>2</v>
      </c>
      <c r="CU73" s="3">
        <v>0</v>
      </c>
      <c r="CV73" s="3">
        <v>1</v>
      </c>
      <c r="CW73" s="3">
        <v>4</v>
      </c>
      <c r="CX73" s="3">
        <v>4</v>
      </c>
      <c r="CY73" s="3">
        <v>3</v>
      </c>
      <c r="CZ73" s="3">
        <v>4</v>
      </c>
      <c r="DA73" s="3">
        <v>2</v>
      </c>
      <c r="DB73" s="3">
        <v>0</v>
      </c>
      <c r="DC73" s="3">
        <v>0</v>
      </c>
      <c r="DD73" s="16">
        <v>5.2</v>
      </c>
      <c r="DE73" s="3">
        <v>9</v>
      </c>
      <c r="DF73" s="3">
        <v>7</v>
      </c>
      <c r="DG73" s="3">
        <v>7</v>
      </c>
      <c r="DH73" s="3">
        <v>7</v>
      </c>
      <c r="DI73" s="3">
        <v>5</v>
      </c>
      <c r="DJ73" s="3">
        <v>4</v>
      </c>
      <c r="DK73" s="3">
        <v>3</v>
      </c>
      <c r="DL73" s="3">
        <v>3</v>
      </c>
      <c r="DM73" s="3">
        <v>4</v>
      </c>
      <c r="DN73" s="3">
        <v>3</v>
      </c>
      <c r="DO73" s="3">
        <v>0</v>
      </c>
      <c r="DP73" s="3">
        <v>0</v>
      </c>
      <c r="DQ73" s="20">
        <v>2.2999999999999998</v>
      </c>
      <c r="DR73" s="3"/>
      <c r="DS73" s="3"/>
      <c r="DT73" s="3"/>
      <c r="DV73" s="3">
        <v>0</v>
      </c>
      <c r="DW73" s="3">
        <v>0</v>
      </c>
      <c r="DX73" s="3">
        <v>4</v>
      </c>
      <c r="DY73" s="3">
        <v>7</v>
      </c>
      <c r="DZ73" s="3">
        <v>6</v>
      </c>
      <c r="EA73" s="3">
        <v>6</v>
      </c>
      <c r="EB73" s="3">
        <v>0</v>
      </c>
      <c r="EC73" s="3">
        <v>0</v>
      </c>
      <c r="ED73" s="16"/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90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119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90"/>
      <c r="FR73" s="91"/>
      <c r="FX73" s="3"/>
      <c r="FY73" s="3"/>
      <c r="FZ73" s="3"/>
      <c r="GA73" s="34"/>
    </row>
    <row r="74" spans="1:183" x14ac:dyDescent="0.25">
      <c r="A74" s="6" t="s">
        <v>310</v>
      </c>
      <c r="B74" s="25" t="s">
        <v>313</v>
      </c>
      <c r="C74" s="1" t="s">
        <v>314</v>
      </c>
      <c r="D74" s="141">
        <f t="shared" si="20"/>
        <v>9.25</v>
      </c>
      <c r="E74" s="141">
        <v>4</v>
      </c>
      <c r="F74" s="141">
        <v>7</v>
      </c>
      <c r="G74" s="141">
        <v>14</v>
      </c>
      <c r="H74" s="141">
        <v>12</v>
      </c>
      <c r="P74" s="77"/>
      <c r="Q74" s="159">
        <f t="shared" si="21"/>
        <v>7.7</v>
      </c>
      <c r="R74" s="141">
        <v>0</v>
      </c>
      <c r="S74" s="141">
        <v>4</v>
      </c>
      <c r="T74" s="141">
        <v>7</v>
      </c>
      <c r="U74" s="141">
        <v>8</v>
      </c>
      <c r="V74" s="141">
        <v>10</v>
      </c>
      <c r="W74" s="141">
        <v>10</v>
      </c>
      <c r="X74" s="141">
        <v>10</v>
      </c>
      <c r="Y74" s="141">
        <v>10</v>
      </c>
      <c r="Z74" s="141">
        <v>9</v>
      </c>
      <c r="AA74" s="141">
        <v>9</v>
      </c>
      <c r="AB74" s="141">
        <v>0</v>
      </c>
      <c r="AC74" s="154">
        <v>0</v>
      </c>
      <c r="AD74" s="159">
        <v>5.4</v>
      </c>
      <c r="AE74" s="141">
        <v>0</v>
      </c>
      <c r="AF74" s="141">
        <v>5</v>
      </c>
      <c r="AG74" s="141">
        <v>6</v>
      </c>
      <c r="AH74" s="141">
        <v>6</v>
      </c>
      <c r="AI74" s="141">
        <v>5</v>
      </c>
      <c r="AJ74" s="141">
        <v>6</v>
      </c>
      <c r="AK74" s="141">
        <v>6</v>
      </c>
      <c r="AL74" s="141">
        <v>8</v>
      </c>
      <c r="AM74" s="141">
        <v>6</v>
      </c>
      <c r="AN74" s="141">
        <v>6</v>
      </c>
      <c r="AO74" s="141">
        <v>0</v>
      </c>
      <c r="AP74" s="154">
        <v>0</v>
      </c>
      <c r="AQ74" s="16">
        <f t="shared" si="22"/>
        <v>2.5</v>
      </c>
      <c r="AR74" s="3">
        <v>0</v>
      </c>
      <c r="AS74" s="3">
        <v>1</v>
      </c>
      <c r="AT74" s="3">
        <v>3</v>
      </c>
      <c r="AU74" s="3">
        <v>4</v>
      </c>
      <c r="AV74" s="3">
        <v>4</v>
      </c>
      <c r="AW74" s="3">
        <v>4</v>
      </c>
      <c r="AX74" s="3">
        <v>3</v>
      </c>
      <c r="AY74" s="3">
        <v>1</v>
      </c>
      <c r="AZ74" s="3">
        <v>2</v>
      </c>
      <c r="BA74" s="3">
        <v>3</v>
      </c>
      <c r="BB74" s="3">
        <v>0</v>
      </c>
      <c r="BC74" s="20">
        <v>0</v>
      </c>
      <c r="BD74" s="117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117">
        <v>0.1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1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16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66">
        <v>0</v>
      </c>
      <c r="CM74" s="66">
        <v>0</v>
      </c>
      <c r="CN74" s="66">
        <v>0</v>
      </c>
      <c r="CO74" s="3">
        <v>0</v>
      </c>
      <c r="CP74" s="3">
        <v>0</v>
      </c>
      <c r="CQ74" s="16">
        <v>0.8</v>
      </c>
      <c r="CR74" s="3"/>
      <c r="CS74" s="3"/>
      <c r="CT74" s="3"/>
      <c r="CV74" s="3">
        <v>0</v>
      </c>
      <c r="CW74" s="3">
        <v>0</v>
      </c>
      <c r="CX74" s="3">
        <v>0</v>
      </c>
      <c r="CY74" s="3">
        <v>0</v>
      </c>
      <c r="CZ74" s="3">
        <v>4</v>
      </c>
      <c r="DA74" s="3">
        <v>4</v>
      </c>
      <c r="DB74" s="3">
        <v>0</v>
      </c>
      <c r="DC74" s="3">
        <v>0</v>
      </c>
      <c r="DD74" s="91"/>
      <c r="DE74" s="3"/>
      <c r="DF74" s="3"/>
      <c r="DG74" s="3"/>
      <c r="DH74" s="3"/>
      <c r="DI74" s="3"/>
      <c r="DJ74" s="3"/>
      <c r="DK74" s="3"/>
      <c r="DL74" s="3"/>
      <c r="DM74" s="3"/>
      <c r="DN74" s="3"/>
      <c r="DQ74" s="91"/>
      <c r="DR74" s="105"/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  <c r="ED74" s="91"/>
      <c r="EE74" s="3"/>
      <c r="EF74" s="3"/>
      <c r="EG74" s="3"/>
      <c r="EH74" s="3"/>
      <c r="EI74" s="3"/>
      <c r="EJ74" s="3"/>
      <c r="EK74" s="3"/>
      <c r="EL74" s="3"/>
      <c r="EM74" s="3"/>
      <c r="EP74" s="3"/>
      <c r="EQ74" s="90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119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90"/>
      <c r="FR74" s="91"/>
      <c r="FX74" s="3"/>
      <c r="FY74" s="3"/>
      <c r="FZ74" s="3"/>
      <c r="GA74" s="34"/>
    </row>
    <row r="75" spans="1:183" x14ac:dyDescent="0.25">
      <c r="A75" s="6"/>
      <c r="B75" s="26" t="s">
        <v>411</v>
      </c>
      <c r="C75" s="7" t="s">
        <v>410</v>
      </c>
      <c r="D75" s="142">
        <f t="shared" si="20"/>
        <v>0</v>
      </c>
      <c r="E75" s="142">
        <v>0</v>
      </c>
      <c r="F75" s="142">
        <v>0</v>
      </c>
      <c r="G75" s="142">
        <v>0</v>
      </c>
      <c r="H75" s="142">
        <v>0</v>
      </c>
      <c r="I75" s="7"/>
      <c r="J75" s="7"/>
      <c r="K75" s="7"/>
      <c r="L75" s="7"/>
      <c r="M75" s="7"/>
      <c r="N75" s="7"/>
      <c r="O75" s="7"/>
      <c r="P75" s="179"/>
      <c r="Q75" s="160">
        <f t="shared" si="21"/>
        <v>0</v>
      </c>
      <c r="R75" s="142">
        <v>0</v>
      </c>
      <c r="S75" s="142">
        <v>0</v>
      </c>
      <c r="T75" s="142">
        <v>0</v>
      </c>
      <c r="U75" s="142">
        <v>0</v>
      </c>
      <c r="V75" s="142">
        <v>0</v>
      </c>
      <c r="W75" s="142">
        <v>0</v>
      </c>
      <c r="X75" s="142">
        <v>0</v>
      </c>
      <c r="Y75" s="142">
        <v>0</v>
      </c>
      <c r="Z75" s="142">
        <v>0</v>
      </c>
      <c r="AA75" s="142">
        <v>0</v>
      </c>
      <c r="AB75" s="142">
        <v>0</v>
      </c>
      <c r="AC75" s="155">
        <v>0</v>
      </c>
      <c r="AD75" s="160">
        <v>0</v>
      </c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42">
        <v>0</v>
      </c>
      <c r="AP75" s="155">
        <v>0</v>
      </c>
      <c r="AQ75" s="111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11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11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11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11"/>
      <c r="EE75" s="15"/>
      <c r="EF75" s="15"/>
      <c r="EG75" s="15"/>
      <c r="EH75" s="15"/>
      <c r="EI75" s="15"/>
      <c r="EJ75" s="15"/>
      <c r="EK75" s="15"/>
      <c r="EL75" s="15"/>
      <c r="EM75" s="15"/>
      <c r="EN75" s="7"/>
      <c r="EO75" s="7"/>
      <c r="EP75" s="15"/>
      <c r="EQ75" s="10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47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10"/>
      <c r="FR75" s="111"/>
      <c r="FX75" s="3"/>
      <c r="FY75" s="3"/>
      <c r="FZ75" s="3"/>
      <c r="GA75" s="34"/>
    </row>
    <row r="76" spans="1:183" x14ac:dyDescent="0.25">
      <c r="A76" s="4"/>
      <c r="B76" s="25" t="s">
        <v>292</v>
      </c>
      <c r="C76" s="1" t="s">
        <v>291</v>
      </c>
      <c r="D76" s="141">
        <f t="shared" si="20"/>
        <v>4.25</v>
      </c>
      <c r="E76" s="141">
        <v>5</v>
      </c>
      <c r="F76" s="141">
        <v>4</v>
      </c>
      <c r="G76" s="141">
        <v>4</v>
      </c>
      <c r="H76" s="141">
        <v>4</v>
      </c>
      <c r="P76" s="77"/>
      <c r="Q76" s="159">
        <f t="shared" si="21"/>
        <v>6</v>
      </c>
      <c r="R76" s="141">
        <v>6</v>
      </c>
      <c r="S76" s="141">
        <v>6</v>
      </c>
      <c r="T76" s="141">
        <v>8</v>
      </c>
      <c r="U76" s="141">
        <v>6</v>
      </c>
      <c r="V76" s="141">
        <v>6</v>
      </c>
      <c r="W76" s="141">
        <v>8</v>
      </c>
      <c r="X76" s="141">
        <v>5</v>
      </c>
      <c r="Y76" s="141">
        <v>6</v>
      </c>
      <c r="Z76" s="141">
        <v>4</v>
      </c>
      <c r="AA76" s="141">
        <v>5</v>
      </c>
      <c r="AB76" s="141">
        <v>0</v>
      </c>
      <c r="AC76" s="154">
        <v>0</v>
      </c>
      <c r="AD76" s="159">
        <v>1</v>
      </c>
      <c r="AE76" s="141">
        <v>1</v>
      </c>
      <c r="AF76" s="141">
        <v>1</v>
      </c>
      <c r="AG76" s="141">
        <v>1</v>
      </c>
      <c r="AH76" s="141">
        <v>1</v>
      </c>
      <c r="AI76" s="141">
        <v>1</v>
      </c>
      <c r="AJ76" s="141">
        <v>1</v>
      </c>
      <c r="AK76" s="141">
        <v>1</v>
      </c>
      <c r="AL76" s="141">
        <v>1</v>
      </c>
      <c r="AM76" s="141">
        <v>1</v>
      </c>
      <c r="AN76" s="141">
        <v>1</v>
      </c>
      <c r="AO76" s="141">
        <v>0</v>
      </c>
      <c r="AP76" s="141">
        <v>0</v>
      </c>
      <c r="AQ76" s="9">
        <f t="shared" si="22"/>
        <v>1.8</v>
      </c>
      <c r="AR76" s="3">
        <v>2</v>
      </c>
      <c r="AS76" s="3">
        <v>3</v>
      </c>
      <c r="AT76" s="3">
        <v>3</v>
      </c>
      <c r="AU76" s="3">
        <v>2</v>
      </c>
      <c r="AV76" s="3">
        <v>2</v>
      </c>
      <c r="AW76" s="3">
        <v>2</v>
      </c>
      <c r="AX76" s="3">
        <v>1</v>
      </c>
      <c r="AY76" s="3">
        <v>1</v>
      </c>
      <c r="AZ76" s="3">
        <v>1</v>
      </c>
      <c r="BA76" s="3">
        <v>1</v>
      </c>
      <c r="BB76" s="3">
        <v>0</v>
      </c>
      <c r="BC76" s="3">
        <v>0</v>
      </c>
      <c r="BD76" s="117">
        <v>2.9</v>
      </c>
      <c r="BE76" s="3">
        <v>4</v>
      </c>
      <c r="BF76" s="3">
        <v>3</v>
      </c>
      <c r="BG76" s="3">
        <v>3</v>
      </c>
      <c r="BH76" s="3">
        <v>4</v>
      </c>
      <c r="BI76" s="3">
        <v>1</v>
      </c>
      <c r="BJ76" s="3">
        <v>1</v>
      </c>
      <c r="BK76" s="3">
        <v>2</v>
      </c>
      <c r="BL76" s="3">
        <v>2</v>
      </c>
      <c r="BM76" s="3">
        <v>4</v>
      </c>
      <c r="BN76" s="3">
        <v>4</v>
      </c>
      <c r="BO76" s="3">
        <v>1</v>
      </c>
      <c r="BP76" s="20">
        <v>0</v>
      </c>
      <c r="BQ76" s="65">
        <v>3.7</v>
      </c>
      <c r="BR76" s="3">
        <v>1</v>
      </c>
      <c r="BS76" s="3">
        <v>4</v>
      </c>
      <c r="BT76" s="3">
        <v>1</v>
      </c>
      <c r="BU76" s="3">
        <v>5</v>
      </c>
      <c r="BV76" s="3">
        <v>5</v>
      </c>
      <c r="BW76" s="3">
        <v>4</v>
      </c>
      <c r="BX76" s="3">
        <v>4</v>
      </c>
      <c r="BY76" s="3">
        <v>4</v>
      </c>
      <c r="BZ76" s="3">
        <v>5</v>
      </c>
      <c r="CA76" s="3">
        <v>4</v>
      </c>
      <c r="CB76" s="3">
        <v>0</v>
      </c>
      <c r="CC76" s="3">
        <v>0</v>
      </c>
      <c r="CD76" s="16">
        <v>5.38</v>
      </c>
      <c r="CE76" s="3">
        <v>6</v>
      </c>
      <c r="CF76" s="3">
        <v>6</v>
      </c>
      <c r="CG76" s="3">
        <v>4</v>
      </c>
      <c r="CH76" s="3">
        <v>2</v>
      </c>
      <c r="CI76" s="3">
        <v>6</v>
      </c>
      <c r="CJ76" s="3">
        <v>6</v>
      </c>
      <c r="CK76" s="3">
        <v>7</v>
      </c>
      <c r="CL76" s="66">
        <v>4.8</v>
      </c>
      <c r="CM76" s="66">
        <v>6</v>
      </c>
      <c r="CN76" s="66">
        <v>6</v>
      </c>
      <c r="CO76" s="3">
        <v>0</v>
      </c>
      <c r="CP76" s="3">
        <v>0</v>
      </c>
      <c r="CQ76" s="16">
        <v>5.3</v>
      </c>
      <c r="CR76" s="3">
        <v>3</v>
      </c>
      <c r="CS76" s="3">
        <v>3</v>
      </c>
      <c r="CT76" s="3">
        <v>5</v>
      </c>
      <c r="CU76" s="3">
        <v>5</v>
      </c>
      <c r="CV76" s="3">
        <v>10</v>
      </c>
      <c r="CW76" s="3">
        <v>8</v>
      </c>
      <c r="CX76" s="3">
        <v>5</v>
      </c>
      <c r="CY76" s="3">
        <v>4</v>
      </c>
      <c r="CZ76" s="3">
        <v>5</v>
      </c>
      <c r="DA76" s="3">
        <v>5</v>
      </c>
      <c r="DB76" s="3">
        <v>0</v>
      </c>
      <c r="DC76" s="3">
        <v>0</v>
      </c>
      <c r="DD76" s="9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20">
        <v>0</v>
      </c>
      <c r="DQ76" s="16">
        <v>0</v>
      </c>
      <c r="DR76" s="3"/>
      <c r="DS76" s="3"/>
      <c r="DT76" s="3"/>
      <c r="DV76" s="3">
        <v>0</v>
      </c>
      <c r="DW76" s="3">
        <v>0</v>
      </c>
      <c r="DX76" s="3">
        <v>4</v>
      </c>
      <c r="DY76" s="3">
        <v>7</v>
      </c>
      <c r="DZ76" s="3">
        <v>6</v>
      </c>
      <c r="EA76" s="3">
        <v>6</v>
      </c>
      <c r="EB76" s="3">
        <v>0</v>
      </c>
      <c r="EC76" s="3">
        <v>0</v>
      </c>
      <c r="ED76" s="16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89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97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91"/>
      <c r="FR76" s="91"/>
      <c r="FX76" s="3"/>
      <c r="FY76" s="3"/>
      <c r="FZ76" s="3"/>
      <c r="GA76" s="34"/>
    </row>
    <row r="77" spans="1:183" x14ac:dyDescent="0.25">
      <c r="A77" s="6" t="s">
        <v>176</v>
      </c>
      <c r="B77" s="25" t="s">
        <v>288</v>
      </c>
      <c r="C77" s="1" t="s">
        <v>287</v>
      </c>
      <c r="D77" s="141">
        <f t="shared" si="20"/>
        <v>0.5</v>
      </c>
      <c r="E77" s="141">
        <v>0</v>
      </c>
      <c r="F77" s="141">
        <v>2</v>
      </c>
      <c r="G77" s="141">
        <v>0</v>
      </c>
      <c r="H77" s="141">
        <v>0</v>
      </c>
      <c r="P77" s="77"/>
      <c r="Q77" s="159">
        <f t="shared" si="21"/>
        <v>1</v>
      </c>
      <c r="R77" s="141">
        <v>1</v>
      </c>
      <c r="S77" s="141">
        <v>2</v>
      </c>
      <c r="T77" s="141">
        <v>1</v>
      </c>
      <c r="U77" s="141">
        <v>1</v>
      </c>
      <c r="V77" s="141">
        <v>1</v>
      </c>
      <c r="W77" s="141">
        <v>1</v>
      </c>
      <c r="X77" s="141">
        <v>1</v>
      </c>
      <c r="Y77" s="141">
        <v>1</v>
      </c>
      <c r="Z77" s="141">
        <v>1</v>
      </c>
      <c r="AA77" s="141">
        <v>0</v>
      </c>
      <c r="AB77" s="141">
        <v>0</v>
      </c>
      <c r="AC77" s="154">
        <v>0</v>
      </c>
      <c r="AD77" s="159">
        <v>0.8</v>
      </c>
      <c r="AE77" s="141">
        <v>0</v>
      </c>
      <c r="AF77" s="141">
        <v>0</v>
      </c>
      <c r="AG77" s="141">
        <v>0</v>
      </c>
      <c r="AH77" s="141">
        <v>0</v>
      </c>
      <c r="AI77" s="141">
        <v>0</v>
      </c>
      <c r="AJ77" s="141">
        <v>1</v>
      </c>
      <c r="AK77" s="141">
        <v>3</v>
      </c>
      <c r="AL77" s="141">
        <v>0</v>
      </c>
      <c r="AM77" s="141">
        <v>2</v>
      </c>
      <c r="AN77" s="141">
        <v>2</v>
      </c>
      <c r="AO77" s="141">
        <v>0</v>
      </c>
      <c r="AP77" s="141">
        <v>0</v>
      </c>
      <c r="AQ77" s="9">
        <f t="shared" si="22"/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117">
        <v>0.5</v>
      </c>
      <c r="BE77" s="3">
        <v>0</v>
      </c>
      <c r="BF77" s="3">
        <v>1</v>
      </c>
      <c r="BG77" s="3">
        <v>1</v>
      </c>
      <c r="BH77" s="3">
        <v>1</v>
      </c>
      <c r="BI77" s="3">
        <v>1</v>
      </c>
      <c r="BJ77" s="3">
        <v>1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20">
        <v>0</v>
      </c>
      <c r="BQ77" s="65">
        <v>0.8</v>
      </c>
      <c r="BR77" s="3">
        <v>0</v>
      </c>
      <c r="BS77" s="3">
        <v>0</v>
      </c>
      <c r="BT77" s="3">
        <v>1</v>
      </c>
      <c r="BU77" s="3">
        <v>1</v>
      </c>
      <c r="BV77" s="3">
        <v>1</v>
      </c>
      <c r="BW77" s="3">
        <v>0</v>
      </c>
      <c r="BX77" s="3">
        <v>0</v>
      </c>
      <c r="BY77" s="3">
        <v>1</v>
      </c>
      <c r="BZ77" s="3">
        <v>1</v>
      </c>
      <c r="CA77" s="3">
        <v>1</v>
      </c>
      <c r="CB77" s="3">
        <v>1</v>
      </c>
      <c r="CC77" s="3">
        <v>1</v>
      </c>
      <c r="CD77" s="16">
        <v>2.0499999999999998</v>
      </c>
      <c r="CE77" s="3">
        <v>0</v>
      </c>
      <c r="CF77" s="3">
        <v>2</v>
      </c>
      <c r="CG77" s="3">
        <v>2</v>
      </c>
      <c r="CH77" s="3">
        <v>0</v>
      </c>
      <c r="CI77" s="3">
        <v>0</v>
      </c>
      <c r="CJ77" s="3">
        <v>3</v>
      </c>
      <c r="CK77" s="3">
        <v>3</v>
      </c>
      <c r="CL77" s="66">
        <v>3</v>
      </c>
      <c r="CM77" s="66">
        <v>4.5</v>
      </c>
      <c r="CN77" s="66">
        <v>3</v>
      </c>
      <c r="CO77" s="3">
        <v>0</v>
      </c>
      <c r="CP77" s="3">
        <v>0</v>
      </c>
      <c r="CQ77" s="16">
        <v>3</v>
      </c>
      <c r="CR77" s="3">
        <v>0</v>
      </c>
      <c r="CS77" s="3">
        <v>5</v>
      </c>
      <c r="CT77" s="3">
        <v>5</v>
      </c>
      <c r="CU77" s="3">
        <v>4</v>
      </c>
      <c r="CV77" s="3">
        <v>3</v>
      </c>
      <c r="CW77" s="3">
        <v>3</v>
      </c>
      <c r="CX77" s="3">
        <v>2</v>
      </c>
      <c r="CY77" s="3">
        <v>2</v>
      </c>
      <c r="CZ77" s="3">
        <v>3</v>
      </c>
      <c r="DA77" s="3">
        <v>2</v>
      </c>
      <c r="DB77" s="3">
        <v>1</v>
      </c>
      <c r="DC77" s="3">
        <v>0</v>
      </c>
      <c r="DD77" s="9">
        <v>3.8</v>
      </c>
      <c r="DE77" s="3">
        <v>2</v>
      </c>
      <c r="DF77" s="3">
        <v>3</v>
      </c>
      <c r="DG77" s="3">
        <v>5</v>
      </c>
      <c r="DH77" s="3">
        <v>5</v>
      </c>
      <c r="DI77" s="3">
        <v>1</v>
      </c>
      <c r="DJ77" s="3">
        <v>3</v>
      </c>
      <c r="DK77" s="3">
        <v>5</v>
      </c>
      <c r="DL77" s="3">
        <v>3</v>
      </c>
      <c r="DM77" s="3">
        <v>6</v>
      </c>
      <c r="DN77" s="3">
        <v>5</v>
      </c>
      <c r="DO77" s="3">
        <v>0</v>
      </c>
      <c r="DP77" s="20">
        <v>0</v>
      </c>
      <c r="DQ77" s="16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16">
        <f t="shared" si="16"/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89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97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91"/>
      <c r="FR77" s="91"/>
      <c r="FX77" s="3"/>
      <c r="FY77" s="3"/>
      <c r="FZ77" s="3"/>
      <c r="GA77" s="34"/>
    </row>
    <row r="78" spans="1:183" x14ac:dyDescent="0.25">
      <c r="A78" s="6" t="s">
        <v>159</v>
      </c>
      <c r="B78" s="68" t="s">
        <v>13</v>
      </c>
      <c r="C78" s="1" t="s">
        <v>14</v>
      </c>
      <c r="D78" s="141">
        <f t="shared" si="20"/>
        <v>0.75</v>
      </c>
      <c r="E78" s="141">
        <v>0</v>
      </c>
      <c r="F78" s="141">
        <v>1</v>
      </c>
      <c r="G78" s="141">
        <v>1</v>
      </c>
      <c r="H78" s="141">
        <v>1</v>
      </c>
      <c r="P78" s="77"/>
      <c r="Q78" s="159">
        <f t="shared" si="21"/>
        <v>1.1000000000000001</v>
      </c>
      <c r="R78" s="141">
        <v>0</v>
      </c>
      <c r="S78" s="141">
        <v>1</v>
      </c>
      <c r="T78" s="141">
        <v>1</v>
      </c>
      <c r="U78" s="141">
        <v>1</v>
      </c>
      <c r="V78" s="141">
        <v>1</v>
      </c>
      <c r="W78" s="141">
        <v>1</v>
      </c>
      <c r="X78" s="141">
        <v>2</v>
      </c>
      <c r="Y78" s="141">
        <v>2</v>
      </c>
      <c r="Z78" s="141">
        <v>1</v>
      </c>
      <c r="AA78" s="141">
        <v>1</v>
      </c>
      <c r="AB78" s="141">
        <v>0</v>
      </c>
      <c r="AC78" s="154">
        <v>0</v>
      </c>
      <c r="AD78" s="159">
        <v>0.5</v>
      </c>
      <c r="AE78" s="141">
        <v>0</v>
      </c>
      <c r="AF78" s="141">
        <v>0</v>
      </c>
      <c r="AG78" s="141">
        <v>0</v>
      </c>
      <c r="AH78" s="141">
        <v>0</v>
      </c>
      <c r="AI78" s="141">
        <v>0</v>
      </c>
      <c r="AJ78" s="141">
        <v>1</v>
      </c>
      <c r="AK78" s="141">
        <v>1</v>
      </c>
      <c r="AL78" s="141">
        <v>1</v>
      </c>
      <c r="AM78" s="141">
        <v>1</v>
      </c>
      <c r="AN78" s="141">
        <v>1</v>
      </c>
      <c r="AO78" s="141">
        <v>0</v>
      </c>
      <c r="AP78" s="141">
        <v>0</v>
      </c>
      <c r="AQ78" s="9">
        <f t="shared" si="22"/>
        <v>0.2</v>
      </c>
      <c r="AR78" s="3">
        <v>0</v>
      </c>
      <c r="AS78" s="3">
        <v>1</v>
      </c>
      <c r="AT78" s="3">
        <v>1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117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20">
        <v>0</v>
      </c>
      <c r="BQ78" s="65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16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66">
        <v>0</v>
      </c>
      <c r="CM78" s="66">
        <v>0</v>
      </c>
      <c r="CN78" s="66">
        <v>0</v>
      </c>
      <c r="CO78" s="3">
        <v>0</v>
      </c>
      <c r="CP78" s="3">
        <v>0</v>
      </c>
      <c r="CQ78" s="16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9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20">
        <v>0</v>
      </c>
      <c r="DQ78" s="16">
        <v>0.3</v>
      </c>
      <c r="DR78" s="3">
        <v>0</v>
      </c>
      <c r="DS78" s="3">
        <v>0</v>
      </c>
      <c r="DT78" s="3">
        <v>0</v>
      </c>
      <c r="DU78" s="3">
        <v>0</v>
      </c>
      <c r="DV78" s="3">
        <v>1</v>
      </c>
      <c r="DW78" s="3">
        <v>1</v>
      </c>
      <c r="DX78" s="3">
        <v>1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16">
        <f t="shared" si="16"/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9">
        <f t="shared" ref="EQ78:EQ80" si="24">+IFERROR((SUM(ER78:FC78)/10),0)</f>
        <v>0.2</v>
      </c>
      <c r="ER78" s="3">
        <v>0</v>
      </c>
      <c r="ES78" s="3">
        <v>0</v>
      </c>
      <c r="ET78" s="3">
        <v>0</v>
      </c>
      <c r="EU78" s="3">
        <v>1</v>
      </c>
      <c r="EV78" s="3">
        <v>1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69">
        <f t="shared" si="9"/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16">
        <v>0.1</v>
      </c>
      <c r="FR78" s="102"/>
      <c r="GA78" s="34"/>
    </row>
    <row r="79" spans="1:183" x14ac:dyDescent="0.25">
      <c r="A79" s="6"/>
      <c r="B79" s="25" t="s">
        <v>386</v>
      </c>
      <c r="C79" s="1" t="s">
        <v>385</v>
      </c>
      <c r="D79" s="141">
        <f t="shared" si="20"/>
        <v>17.167499999999997</v>
      </c>
      <c r="E79" s="141">
        <v>0</v>
      </c>
      <c r="F79" s="141">
        <v>25.97</v>
      </c>
      <c r="G79" s="141">
        <v>22.52</v>
      </c>
      <c r="H79" s="141">
        <v>20.18</v>
      </c>
      <c r="P79" s="77"/>
      <c r="Q79" s="159">
        <f t="shared" si="21"/>
        <v>21.769000000000002</v>
      </c>
      <c r="R79" s="141">
        <v>0</v>
      </c>
      <c r="S79" s="141">
        <v>24.33</v>
      </c>
      <c r="T79" s="141">
        <v>23.67</v>
      </c>
      <c r="U79" s="141">
        <v>22.540000000000003</v>
      </c>
      <c r="V79" s="141">
        <v>24.990000000000002</v>
      </c>
      <c r="W79" s="141">
        <v>21.87</v>
      </c>
      <c r="X79" s="141">
        <v>21.28</v>
      </c>
      <c r="Y79" s="141">
        <v>25.240000000000002</v>
      </c>
      <c r="Z79" s="141">
        <v>24.25</v>
      </c>
      <c r="AA79" s="141">
        <v>23.38</v>
      </c>
      <c r="AB79" s="141">
        <v>3.9000000000000004</v>
      </c>
      <c r="AC79" s="154">
        <v>2.2399999999999998</v>
      </c>
      <c r="AD79" s="159">
        <v>29.628000000000004</v>
      </c>
      <c r="AE79" s="141">
        <v>0</v>
      </c>
      <c r="AF79" s="141">
        <v>32.31</v>
      </c>
      <c r="AG79" s="141">
        <v>31.98</v>
      </c>
      <c r="AH79" s="141">
        <v>27.78</v>
      </c>
      <c r="AI79" s="141">
        <v>35.520000000000003</v>
      </c>
      <c r="AJ79" s="141">
        <v>35.089999999999996</v>
      </c>
      <c r="AK79" s="141">
        <v>32.22</v>
      </c>
      <c r="AL79" s="141">
        <v>34.33</v>
      </c>
      <c r="AM79" s="141">
        <v>33.79</v>
      </c>
      <c r="AN79" s="141">
        <v>25.34</v>
      </c>
      <c r="AO79" s="141">
        <v>4.13</v>
      </c>
      <c r="AP79" s="141">
        <v>3.79</v>
      </c>
      <c r="AQ79" s="9">
        <f t="shared" si="22"/>
        <v>18.564</v>
      </c>
      <c r="AR79" s="3">
        <v>0</v>
      </c>
      <c r="AS79" s="3">
        <v>11.98</v>
      </c>
      <c r="AT79" s="3">
        <v>11.98</v>
      </c>
      <c r="AU79" s="3">
        <v>11.64</v>
      </c>
      <c r="AV79" s="3">
        <v>19.02</v>
      </c>
      <c r="AW79" s="3">
        <v>20.009999999999998</v>
      </c>
      <c r="AX79" s="3">
        <v>19.690000000000001</v>
      </c>
      <c r="AY79" s="3">
        <v>28.279999999999998</v>
      </c>
      <c r="AZ79" s="3">
        <v>28.14</v>
      </c>
      <c r="BA79" s="3">
        <v>27.71</v>
      </c>
      <c r="BB79" s="3">
        <v>4.01</v>
      </c>
      <c r="BC79" s="3">
        <v>3.1799999999999997</v>
      </c>
      <c r="BD79" s="117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20"/>
      <c r="BQ79" s="11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91"/>
      <c r="CE79" s="3"/>
      <c r="CF79" s="3"/>
      <c r="CG79" s="3"/>
      <c r="CH79" s="3"/>
      <c r="CI79" s="3"/>
      <c r="CJ79" s="3"/>
      <c r="CK79" s="3"/>
      <c r="CL79" s="66"/>
      <c r="CM79" s="66"/>
      <c r="CN79" s="66"/>
      <c r="CO79" s="3"/>
      <c r="CP79" s="3"/>
      <c r="CQ79" s="91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89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20"/>
      <c r="DQ79" s="91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91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89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97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91"/>
      <c r="FR79" s="102"/>
      <c r="GA79" s="34"/>
    </row>
    <row r="80" spans="1:183" x14ac:dyDescent="0.25">
      <c r="A80" s="78" t="s">
        <v>157</v>
      </c>
      <c r="B80" s="68" t="s">
        <v>60</v>
      </c>
      <c r="C80" s="1" t="s">
        <v>161</v>
      </c>
      <c r="D80" s="141">
        <f t="shared" si="20"/>
        <v>600.2025000000001</v>
      </c>
      <c r="E80" s="141">
        <v>532.38</v>
      </c>
      <c r="F80" s="141">
        <v>656.58000000000015</v>
      </c>
      <c r="G80" s="141">
        <v>623.57000000000005</v>
      </c>
      <c r="H80" s="141">
        <v>588.2800000000002</v>
      </c>
      <c r="P80" s="77"/>
      <c r="Q80" s="159">
        <f t="shared" si="21"/>
        <v>647.17600000000004</v>
      </c>
      <c r="R80" s="141">
        <v>572.4</v>
      </c>
      <c r="S80" s="141">
        <v>637.71</v>
      </c>
      <c r="T80" s="141">
        <v>617.77</v>
      </c>
      <c r="U80" s="141">
        <v>591.25999999999988</v>
      </c>
      <c r="V80" s="141">
        <v>627.2700000000001</v>
      </c>
      <c r="W80" s="141">
        <v>625.30000000000007</v>
      </c>
      <c r="X80" s="141">
        <v>602.78</v>
      </c>
      <c r="Y80" s="141">
        <v>565.09000000000015</v>
      </c>
      <c r="Z80" s="141">
        <v>588.25</v>
      </c>
      <c r="AA80" s="141">
        <v>576.59</v>
      </c>
      <c r="AB80" s="141">
        <v>137.68</v>
      </c>
      <c r="AC80" s="154">
        <v>329.66000000000008</v>
      </c>
      <c r="AD80" s="159">
        <v>555.63099999999997</v>
      </c>
      <c r="AE80" s="141">
        <v>497.37</v>
      </c>
      <c r="AF80" s="141">
        <v>513.88</v>
      </c>
      <c r="AG80" s="141">
        <v>545.49000000000012</v>
      </c>
      <c r="AH80" s="141">
        <v>503.09999999999997</v>
      </c>
      <c r="AI80" s="141">
        <v>530.78</v>
      </c>
      <c r="AJ80" s="141">
        <v>577.62</v>
      </c>
      <c r="AK80" s="141">
        <v>551.42999999999995</v>
      </c>
      <c r="AL80" s="141">
        <v>560.02</v>
      </c>
      <c r="AM80" s="141">
        <v>543.77</v>
      </c>
      <c r="AN80" s="141">
        <v>533.42999999999995</v>
      </c>
      <c r="AO80" s="141">
        <v>105.48999999999998</v>
      </c>
      <c r="AP80" s="141">
        <v>93.929999999999993</v>
      </c>
      <c r="AQ80" s="9">
        <f t="shared" si="22"/>
        <v>499.36100000000005</v>
      </c>
      <c r="AR80" s="3">
        <v>381.32</v>
      </c>
      <c r="AS80" s="3">
        <v>448.08000000000004</v>
      </c>
      <c r="AT80" s="3">
        <v>488.98</v>
      </c>
      <c r="AU80" s="3">
        <v>469.91000000000008</v>
      </c>
      <c r="AV80" s="3">
        <v>495.28999999999991</v>
      </c>
      <c r="AW80" s="3">
        <v>496.59000000000009</v>
      </c>
      <c r="AX80" s="3">
        <v>494.35</v>
      </c>
      <c r="AY80" s="3">
        <v>515.22000000000014</v>
      </c>
      <c r="AZ80" s="3">
        <v>534.83000000000015</v>
      </c>
      <c r="BA80" s="3">
        <v>481.11000000000007</v>
      </c>
      <c r="BB80" s="3">
        <v>102.22</v>
      </c>
      <c r="BC80" s="3">
        <v>85.71</v>
      </c>
      <c r="BD80" s="117">
        <v>332.899</v>
      </c>
      <c r="BE80" s="3">
        <v>336.46999999999997</v>
      </c>
      <c r="BF80" s="3">
        <v>400.9799999999999</v>
      </c>
      <c r="BG80" s="3">
        <v>385.49999999999994</v>
      </c>
      <c r="BH80" s="3">
        <v>369.94999999999993</v>
      </c>
      <c r="BI80" s="3">
        <v>258.73999999999995</v>
      </c>
      <c r="BJ80" s="3">
        <v>273.51</v>
      </c>
      <c r="BK80" s="3">
        <v>266.44999999999993</v>
      </c>
      <c r="BL80" s="3">
        <v>339.95999999999987</v>
      </c>
      <c r="BM80" s="3">
        <v>343.76000000000005</v>
      </c>
      <c r="BN80" s="3">
        <v>342.66999999999996</v>
      </c>
      <c r="BO80" s="3">
        <v>6</v>
      </c>
      <c r="BP80" s="20">
        <v>5</v>
      </c>
      <c r="BQ80" s="65">
        <v>437.49599999999998</v>
      </c>
      <c r="BR80" s="3">
        <v>401.73</v>
      </c>
      <c r="BS80" s="3">
        <v>512.89</v>
      </c>
      <c r="BT80" s="3">
        <v>425.5200000000001</v>
      </c>
      <c r="BU80" s="3">
        <v>438.34999999999997</v>
      </c>
      <c r="BV80" s="3">
        <v>484.05</v>
      </c>
      <c r="BW80" s="3">
        <v>456.4</v>
      </c>
      <c r="BX80" s="3">
        <v>411.68</v>
      </c>
      <c r="BY80" s="3">
        <v>408.91999999999996</v>
      </c>
      <c r="BZ80" s="3">
        <v>433.18</v>
      </c>
      <c r="CA80" s="3">
        <v>381.23999999999995</v>
      </c>
      <c r="CB80" s="3">
        <v>14</v>
      </c>
      <c r="CC80" s="3">
        <v>7</v>
      </c>
      <c r="CD80" s="16">
        <v>510.05200000000002</v>
      </c>
      <c r="CE80" s="3">
        <v>395.67</v>
      </c>
      <c r="CF80" s="3">
        <v>555.66999999999996</v>
      </c>
      <c r="CG80" s="3">
        <v>548.53</v>
      </c>
      <c r="CH80" s="3">
        <v>489.76</v>
      </c>
      <c r="CI80" s="3">
        <v>484.05</v>
      </c>
      <c r="CJ80" s="3">
        <v>509.32000000000005</v>
      </c>
      <c r="CK80" s="3">
        <v>468.99000000000007</v>
      </c>
      <c r="CL80" s="66">
        <v>550.43999999999994</v>
      </c>
      <c r="CM80" s="66">
        <v>550.77</v>
      </c>
      <c r="CN80" s="66">
        <v>526.31999999999994</v>
      </c>
      <c r="CO80" s="3">
        <v>0</v>
      </c>
      <c r="CP80" s="3">
        <v>21</v>
      </c>
      <c r="CQ80" s="16">
        <v>469.822</v>
      </c>
      <c r="CR80" s="3">
        <v>313.96999999999997</v>
      </c>
      <c r="CS80" s="3">
        <v>516.57000000000005</v>
      </c>
      <c r="CT80" s="3">
        <v>505</v>
      </c>
      <c r="CU80" s="3">
        <v>476.26</v>
      </c>
      <c r="CV80" s="3">
        <v>462.8300000000001</v>
      </c>
      <c r="CW80" s="3">
        <v>495.86000000000013</v>
      </c>
      <c r="CX80" s="3">
        <v>446.82</v>
      </c>
      <c r="CY80" s="3">
        <v>481.99</v>
      </c>
      <c r="CZ80" s="3">
        <v>482.87000000000006</v>
      </c>
      <c r="DA80" s="3">
        <v>461.05000000000013</v>
      </c>
      <c r="DB80" s="3">
        <v>33</v>
      </c>
      <c r="DC80" s="3">
        <v>22</v>
      </c>
      <c r="DD80" s="9">
        <v>458.28200000000004</v>
      </c>
      <c r="DE80" s="3">
        <v>465.72</v>
      </c>
      <c r="DF80" s="3">
        <v>514.23</v>
      </c>
      <c r="DG80" s="3">
        <v>460.14</v>
      </c>
      <c r="DH80" s="3">
        <v>431.70000000000005</v>
      </c>
      <c r="DI80" s="3">
        <v>429.40000000000003</v>
      </c>
      <c r="DJ80" s="3">
        <v>440.78000000000003</v>
      </c>
      <c r="DK80" s="3">
        <v>417.39</v>
      </c>
      <c r="DL80" s="3">
        <v>457.86000000000013</v>
      </c>
      <c r="DM80" s="3">
        <v>464.04000000000008</v>
      </c>
      <c r="DN80" s="3">
        <v>420.56000000000006</v>
      </c>
      <c r="DO80" s="3">
        <v>44</v>
      </c>
      <c r="DP80" s="20">
        <v>37</v>
      </c>
      <c r="DQ80" s="16">
        <v>435.76900000000006</v>
      </c>
      <c r="DR80" s="3">
        <v>345.86</v>
      </c>
      <c r="DS80" s="3">
        <v>431.86</v>
      </c>
      <c r="DT80" s="3">
        <v>406.43</v>
      </c>
      <c r="DU80" s="3">
        <v>377.34000000000003</v>
      </c>
      <c r="DV80" s="3">
        <v>425.26</v>
      </c>
      <c r="DW80" s="3">
        <v>460.04</v>
      </c>
      <c r="DX80" s="3">
        <v>441.52</v>
      </c>
      <c r="DY80" s="3">
        <v>472.38</v>
      </c>
      <c r="DZ80" s="3">
        <v>475.72999999999996</v>
      </c>
      <c r="EA80" s="3">
        <v>440.27</v>
      </c>
      <c r="EB80" s="3">
        <v>43</v>
      </c>
      <c r="EC80" s="3">
        <v>38</v>
      </c>
      <c r="ED80" s="16">
        <f t="shared" si="16"/>
        <v>378.02599999999995</v>
      </c>
      <c r="EE80" s="3">
        <v>278.10999999999996</v>
      </c>
      <c r="EF80" s="3">
        <v>391.04999999999995</v>
      </c>
      <c r="EG80" s="3">
        <v>386.11999999999995</v>
      </c>
      <c r="EH80" s="3">
        <v>334.03999999999996</v>
      </c>
      <c r="EI80" s="3">
        <v>408.34</v>
      </c>
      <c r="EJ80" s="3">
        <v>382.33000000000004</v>
      </c>
      <c r="EK80" s="3">
        <v>371.65999999999997</v>
      </c>
      <c r="EL80" s="3">
        <v>403.05</v>
      </c>
      <c r="EM80" s="3">
        <v>413.42</v>
      </c>
      <c r="EN80" s="3">
        <v>395.14000000000004</v>
      </c>
      <c r="EO80" s="3">
        <v>10</v>
      </c>
      <c r="EP80" s="3">
        <v>7</v>
      </c>
      <c r="EQ80" s="9">
        <f t="shared" si="24"/>
        <v>384.47400000000005</v>
      </c>
      <c r="ER80" s="3">
        <v>422.86</v>
      </c>
      <c r="ES80" s="3">
        <v>417.90000000000009</v>
      </c>
      <c r="ET80" s="3">
        <v>391.03000000000003</v>
      </c>
      <c r="EU80" s="3">
        <v>365.93</v>
      </c>
      <c r="EV80" s="3">
        <v>397.28</v>
      </c>
      <c r="EW80" s="3">
        <v>383.58</v>
      </c>
      <c r="EX80" s="3">
        <v>350.17999999999995</v>
      </c>
      <c r="EY80" s="3">
        <v>381.29</v>
      </c>
      <c r="EZ80" s="3">
        <v>378.82</v>
      </c>
      <c r="FA80" s="3">
        <v>355.87</v>
      </c>
      <c r="FB80" s="3">
        <v>0</v>
      </c>
      <c r="FC80" s="3">
        <v>0</v>
      </c>
      <c r="FD80" s="69">
        <f t="shared" si="9"/>
        <v>222.27000000000004</v>
      </c>
      <c r="FE80" s="3">
        <v>168.82</v>
      </c>
      <c r="FF80" s="3">
        <v>164.04000000000002</v>
      </c>
      <c r="FG80" s="3">
        <v>197.73000000000002</v>
      </c>
      <c r="FH80" s="3">
        <v>194.03</v>
      </c>
      <c r="FI80" s="3">
        <v>254.40000000000003</v>
      </c>
      <c r="FJ80" s="3">
        <v>237.45000000000005</v>
      </c>
      <c r="FK80" s="3">
        <v>225.68</v>
      </c>
      <c r="FL80" s="3">
        <v>262.41999999999996</v>
      </c>
      <c r="FM80" s="3">
        <v>268.31000000000006</v>
      </c>
      <c r="FN80" s="3">
        <v>249.82</v>
      </c>
      <c r="FO80" s="3">
        <v>0</v>
      </c>
      <c r="FP80" s="3">
        <v>0</v>
      </c>
      <c r="FQ80" s="16">
        <v>158.20700000000002</v>
      </c>
      <c r="FR80" s="16">
        <f>+(SUM(FS80:FZ80))/10</f>
        <v>93.609000000000009</v>
      </c>
      <c r="FS80" s="3">
        <f>79.88+67.98</f>
        <v>147.86000000000001</v>
      </c>
      <c r="FT80" s="3">
        <f>87.38+76.68</f>
        <v>164.06</v>
      </c>
      <c r="FU80" s="3">
        <f>81.61+67.91</f>
        <v>149.51999999999998</v>
      </c>
      <c r="FV80" s="3">
        <f>88.96+75.64</f>
        <v>164.6</v>
      </c>
      <c r="FW80" s="3">
        <f>91.41+71.78</f>
        <v>163.19</v>
      </c>
      <c r="FX80" s="3">
        <f>80.21+66.65</f>
        <v>146.86000000000001</v>
      </c>
      <c r="FY80" s="3">
        <v>0</v>
      </c>
      <c r="FZ80" s="3">
        <v>0</v>
      </c>
      <c r="GA80" s="34"/>
    </row>
    <row r="81" spans="1:183" x14ac:dyDescent="0.25">
      <c r="A81" s="6" t="s">
        <v>176</v>
      </c>
      <c r="B81" s="25" t="s">
        <v>186</v>
      </c>
      <c r="C81" s="1" t="s">
        <v>185</v>
      </c>
      <c r="D81" s="141">
        <f t="shared" si="20"/>
        <v>4.2424999999999997</v>
      </c>
      <c r="E81" s="141">
        <v>0</v>
      </c>
      <c r="F81" s="141">
        <v>6.65</v>
      </c>
      <c r="G81" s="141">
        <v>5.33</v>
      </c>
      <c r="H81" s="141">
        <v>4.99</v>
      </c>
      <c r="P81" s="77"/>
      <c r="Q81" s="159">
        <f t="shared" si="21"/>
        <v>4.9300000000000006</v>
      </c>
      <c r="R81" s="141">
        <v>0</v>
      </c>
      <c r="S81" s="141">
        <v>4.4399999999999995</v>
      </c>
      <c r="T81" s="141">
        <v>4.4399999999999995</v>
      </c>
      <c r="U81" s="141">
        <v>3.44</v>
      </c>
      <c r="V81" s="141">
        <v>6.65</v>
      </c>
      <c r="W81" s="141">
        <v>6.32</v>
      </c>
      <c r="X81" s="141">
        <v>4.66</v>
      </c>
      <c r="Y81" s="141">
        <v>7.11</v>
      </c>
      <c r="Z81" s="141">
        <v>6.78</v>
      </c>
      <c r="AA81" s="141">
        <v>5.46</v>
      </c>
      <c r="AB81" s="141">
        <v>0</v>
      </c>
      <c r="AC81" s="154">
        <v>0</v>
      </c>
      <c r="AD81" s="159">
        <v>4.677999999999999</v>
      </c>
      <c r="AE81" s="141">
        <v>0</v>
      </c>
      <c r="AF81" s="141">
        <v>4.8600000000000003</v>
      </c>
      <c r="AG81" s="141">
        <v>4.8600000000000003</v>
      </c>
      <c r="AH81" s="141">
        <v>4.8600000000000003</v>
      </c>
      <c r="AI81" s="141">
        <v>5.1100000000000003</v>
      </c>
      <c r="AJ81" s="141">
        <v>5.1100000000000003</v>
      </c>
      <c r="AK81" s="141">
        <v>5.1100000000000003</v>
      </c>
      <c r="AL81" s="141">
        <v>6</v>
      </c>
      <c r="AM81" s="141">
        <v>5.77</v>
      </c>
      <c r="AN81" s="141">
        <v>4.1099999999999994</v>
      </c>
      <c r="AO81" s="141">
        <v>0.66</v>
      </c>
      <c r="AP81" s="141">
        <v>0.33</v>
      </c>
      <c r="AQ81" s="9">
        <f t="shared" si="22"/>
        <v>1.6780000000000002</v>
      </c>
      <c r="AR81" s="3">
        <v>0</v>
      </c>
      <c r="AS81" s="3">
        <v>0</v>
      </c>
      <c r="AT81" s="3">
        <v>0</v>
      </c>
      <c r="AU81" s="3">
        <v>0</v>
      </c>
      <c r="AV81" s="3">
        <v>2</v>
      </c>
      <c r="AW81" s="3">
        <v>3</v>
      </c>
      <c r="AX81" s="3">
        <v>3</v>
      </c>
      <c r="AY81" s="3">
        <v>2.5300000000000002</v>
      </c>
      <c r="AZ81" s="3">
        <v>2.5300000000000002</v>
      </c>
      <c r="BA81" s="3">
        <v>1.7200000000000002</v>
      </c>
      <c r="BB81" s="3">
        <v>1</v>
      </c>
      <c r="BC81" s="3">
        <v>1</v>
      </c>
      <c r="BD81" s="117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20">
        <v>0</v>
      </c>
      <c r="BQ81" s="65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16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66">
        <v>0</v>
      </c>
      <c r="CM81" s="66">
        <v>0</v>
      </c>
      <c r="CN81" s="66">
        <v>0</v>
      </c>
      <c r="CO81" s="3">
        <v>0</v>
      </c>
      <c r="CP81" s="3">
        <v>0</v>
      </c>
      <c r="CQ81" s="16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9">
        <v>3.4</v>
      </c>
      <c r="DE81" s="3">
        <v>4</v>
      </c>
      <c r="DF81" s="3">
        <v>2</v>
      </c>
      <c r="DG81" s="3">
        <v>7</v>
      </c>
      <c r="DH81" s="3">
        <v>5</v>
      </c>
      <c r="DI81" s="3">
        <v>1</v>
      </c>
      <c r="DJ81" s="3">
        <v>4</v>
      </c>
      <c r="DK81" s="3">
        <v>2</v>
      </c>
      <c r="DL81" s="3">
        <v>4</v>
      </c>
      <c r="DM81" s="3">
        <v>3</v>
      </c>
      <c r="DN81" s="3">
        <v>1</v>
      </c>
      <c r="DO81" s="3">
        <v>1</v>
      </c>
      <c r="DP81" s="20">
        <v>0</v>
      </c>
      <c r="DQ81" s="16">
        <v>3.3</v>
      </c>
      <c r="DR81" s="3">
        <v>1</v>
      </c>
      <c r="DS81" s="3">
        <v>2</v>
      </c>
      <c r="DT81" s="3">
        <v>2</v>
      </c>
      <c r="DU81" s="3">
        <v>3</v>
      </c>
      <c r="DV81" s="3">
        <v>3</v>
      </c>
      <c r="DW81" s="3">
        <v>5</v>
      </c>
      <c r="DX81" s="3">
        <v>4</v>
      </c>
      <c r="DY81" s="3">
        <v>4</v>
      </c>
      <c r="DZ81" s="3">
        <v>5</v>
      </c>
      <c r="EA81" s="3">
        <v>4</v>
      </c>
      <c r="EB81" s="3">
        <v>0</v>
      </c>
      <c r="EC81" s="3">
        <v>0</v>
      </c>
      <c r="ED81" s="16">
        <f t="shared" si="16"/>
        <v>1.1000000000000001</v>
      </c>
      <c r="EE81" s="3">
        <v>0</v>
      </c>
      <c r="EF81" s="3">
        <v>0</v>
      </c>
      <c r="EG81" s="3">
        <v>0</v>
      </c>
      <c r="EH81" s="3">
        <v>0</v>
      </c>
      <c r="EI81" s="3">
        <v>1</v>
      </c>
      <c r="EJ81" s="3">
        <v>1</v>
      </c>
      <c r="EK81" s="3">
        <v>2</v>
      </c>
      <c r="EL81" s="3">
        <v>3</v>
      </c>
      <c r="EM81" s="3">
        <v>3</v>
      </c>
      <c r="EN81" s="3">
        <v>1</v>
      </c>
      <c r="EO81" s="3">
        <v>0</v>
      </c>
      <c r="EP81" s="3">
        <v>0</v>
      </c>
      <c r="EQ81" s="89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97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91"/>
      <c r="FR81" s="91"/>
      <c r="FS81" s="3"/>
      <c r="FT81" s="3"/>
      <c r="FU81" s="3"/>
      <c r="FV81" s="3"/>
      <c r="FW81" s="3"/>
      <c r="FX81" s="3"/>
      <c r="FY81" s="3"/>
      <c r="FZ81" s="3"/>
      <c r="GA81" s="34"/>
    </row>
    <row r="82" spans="1:183" x14ac:dyDescent="0.25">
      <c r="A82" s="6" t="s">
        <v>176</v>
      </c>
      <c r="B82" s="25" t="s">
        <v>183</v>
      </c>
      <c r="C82" s="1" t="s">
        <v>184</v>
      </c>
      <c r="D82" s="141">
        <f t="shared" si="20"/>
        <v>79.177500000000009</v>
      </c>
      <c r="E82" s="141">
        <v>73</v>
      </c>
      <c r="F82" s="141">
        <v>81.59</v>
      </c>
      <c r="G82" s="141">
        <v>86.25</v>
      </c>
      <c r="H82" s="141">
        <v>75.87</v>
      </c>
      <c r="P82" s="77"/>
      <c r="Q82" s="159">
        <f t="shared" si="21"/>
        <v>66.160000000000011</v>
      </c>
      <c r="R82" s="141">
        <v>27</v>
      </c>
      <c r="S82" s="141">
        <v>55</v>
      </c>
      <c r="T82" s="141">
        <v>70</v>
      </c>
      <c r="U82" s="141">
        <v>68</v>
      </c>
      <c r="V82" s="141">
        <v>69</v>
      </c>
      <c r="W82" s="141">
        <v>90</v>
      </c>
      <c r="X82" s="141">
        <v>75</v>
      </c>
      <c r="Y82" s="141">
        <v>68.2</v>
      </c>
      <c r="Z82" s="141">
        <v>65.2</v>
      </c>
      <c r="AA82" s="141">
        <v>57.2</v>
      </c>
      <c r="AB82" s="141">
        <v>9</v>
      </c>
      <c r="AC82" s="154">
        <v>8</v>
      </c>
      <c r="AD82" s="159">
        <v>45</v>
      </c>
      <c r="AE82" s="141">
        <v>0</v>
      </c>
      <c r="AF82" s="141">
        <v>65</v>
      </c>
      <c r="AG82" s="141">
        <v>64</v>
      </c>
      <c r="AH82" s="141">
        <v>36</v>
      </c>
      <c r="AI82" s="141">
        <v>25</v>
      </c>
      <c r="AJ82" s="141">
        <v>49</v>
      </c>
      <c r="AK82" s="141">
        <v>41</v>
      </c>
      <c r="AL82" s="141">
        <v>35</v>
      </c>
      <c r="AM82" s="141">
        <v>45</v>
      </c>
      <c r="AN82" s="141">
        <v>45</v>
      </c>
      <c r="AO82" s="141">
        <v>41</v>
      </c>
      <c r="AP82" s="141">
        <v>4</v>
      </c>
      <c r="AQ82" s="9">
        <f t="shared" si="22"/>
        <v>48.1</v>
      </c>
      <c r="AR82" s="3">
        <v>0</v>
      </c>
      <c r="AS82" s="3">
        <v>48</v>
      </c>
      <c r="AT82" s="3">
        <v>60</v>
      </c>
      <c r="AU82" s="3">
        <v>51</v>
      </c>
      <c r="AV82" s="3">
        <v>31</v>
      </c>
      <c r="AW82" s="3">
        <v>61</v>
      </c>
      <c r="AX82" s="3">
        <v>62</v>
      </c>
      <c r="AY82" s="3">
        <v>53</v>
      </c>
      <c r="AZ82" s="3">
        <v>56</v>
      </c>
      <c r="BA82" s="3">
        <v>59</v>
      </c>
      <c r="BB82" s="3">
        <v>0</v>
      </c>
      <c r="BC82" s="3">
        <v>0</v>
      </c>
      <c r="BD82" s="117">
        <v>36.4</v>
      </c>
      <c r="BE82" s="3">
        <v>11</v>
      </c>
      <c r="BF82" s="3">
        <v>30</v>
      </c>
      <c r="BG82" s="3">
        <v>38</v>
      </c>
      <c r="BH82" s="3">
        <v>40</v>
      </c>
      <c r="BI82" s="3">
        <v>28</v>
      </c>
      <c r="BJ82" s="3">
        <v>34</v>
      </c>
      <c r="BK82" s="3">
        <v>48</v>
      </c>
      <c r="BL82" s="3">
        <v>47</v>
      </c>
      <c r="BM82" s="3">
        <v>49</v>
      </c>
      <c r="BN82" s="3">
        <v>39</v>
      </c>
      <c r="BO82" s="3">
        <v>0</v>
      </c>
      <c r="BP82" s="20">
        <v>0</v>
      </c>
      <c r="BQ82" s="65">
        <v>26.8</v>
      </c>
      <c r="BR82" s="3">
        <v>24</v>
      </c>
      <c r="BS82" s="3">
        <v>36</v>
      </c>
      <c r="BT82" s="3">
        <v>31</v>
      </c>
      <c r="BU82" s="3">
        <v>27</v>
      </c>
      <c r="BV82" s="3">
        <v>22</v>
      </c>
      <c r="BW82" s="3">
        <v>27</v>
      </c>
      <c r="BX82" s="3">
        <v>18</v>
      </c>
      <c r="BY82" s="3">
        <v>28</v>
      </c>
      <c r="BZ82" s="3">
        <v>31</v>
      </c>
      <c r="CA82" s="3">
        <v>24</v>
      </c>
      <c r="CB82" s="3">
        <v>0</v>
      </c>
      <c r="CC82" s="3">
        <v>0</v>
      </c>
      <c r="CD82" s="16">
        <v>25.095999999999997</v>
      </c>
      <c r="CE82" s="3">
        <v>13</v>
      </c>
      <c r="CF82" s="3">
        <v>17</v>
      </c>
      <c r="CG82" s="3">
        <v>19.600000000000001</v>
      </c>
      <c r="CH82" s="3">
        <v>21.4</v>
      </c>
      <c r="CI82" s="3">
        <v>32</v>
      </c>
      <c r="CJ82" s="3">
        <v>32</v>
      </c>
      <c r="CK82" s="3">
        <v>41</v>
      </c>
      <c r="CL82" s="66">
        <v>23.38</v>
      </c>
      <c r="CM82" s="66">
        <v>27.23</v>
      </c>
      <c r="CN82" s="66">
        <v>24.35</v>
      </c>
      <c r="CO82" s="3">
        <v>0</v>
      </c>
      <c r="CP82" s="3">
        <v>0</v>
      </c>
      <c r="CQ82" s="16">
        <v>20.410999999999998</v>
      </c>
      <c r="CR82" s="3">
        <v>12</v>
      </c>
      <c r="CS82" s="3">
        <v>19.32</v>
      </c>
      <c r="CT82" s="3">
        <v>26.49</v>
      </c>
      <c r="CU82" s="3">
        <v>23.49</v>
      </c>
      <c r="CV82" s="3">
        <v>26.83</v>
      </c>
      <c r="CW82" s="3">
        <v>23</v>
      </c>
      <c r="CX82" s="3">
        <v>21.83</v>
      </c>
      <c r="CY82" s="3">
        <v>15.83</v>
      </c>
      <c r="CZ82" s="3">
        <v>18.66</v>
      </c>
      <c r="DA82" s="3">
        <v>16.66</v>
      </c>
      <c r="DB82" s="3">
        <v>0</v>
      </c>
      <c r="DC82" s="3">
        <v>0</v>
      </c>
      <c r="DD82" s="9">
        <v>24.539999999999996</v>
      </c>
      <c r="DE82" s="3">
        <v>21.599999999999998</v>
      </c>
      <c r="DF82" s="3">
        <v>29.8</v>
      </c>
      <c r="DG82" s="3">
        <v>30</v>
      </c>
      <c r="DH82" s="3">
        <v>29</v>
      </c>
      <c r="DI82" s="3">
        <v>26.2</v>
      </c>
      <c r="DJ82" s="3">
        <v>25.6</v>
      </c>
      <c r="DK82" s="3">
        <v>24.2</v>
      </c>
      <c r="DL82" s="3">
        <v>15.6</v>
      </c>
      <c r="DM82" s="3">
        <v>24.2</v>
      </c>
      <c r="DN82" s="3">
        <v>19.2</v>
      </c>
      <c r="DO82" s="3">
        <v>0</v>
      </c>
      <c r="DP82" s="20">
        <v>0</v>
      </c>
      <c r="DQ82" s="16">
        <v>25.860000000000003</v>
      </c>
      <c r="DR82" s="3">
        <v>0</v>
      </c>
      <c r="DS82" s="3">
        <v>14</v>
      </c>
      <c r="DT82" s="3">
        <v>17</v>
      </c>
      <c r="DU82" s="3">
        <v>23</v>
      </c>
      <c r="DV82" s="3">
        <v>21</v>
      </c>
      <c r="DW82" s="3">
        <v>29</v>
      </c>
      <c r="DX82" s="3">
        <v>28</v>
      </c>
      <c r="DY82" s="3">
        <v>49</v>
      </c>
      <c r="DZ82" s="3">
        <v>41.8</v>
      </c>
      <c r="EA82" s="3">
        <v>35.799999999999997</v>
      </c>
      <c r="EB82" s="3">
        <v>0</v>
      </c>
      <c r="EC82" s="3">
        <v>0</v>
      </c>
      <c r="ED82" s="16">
        <f t="shared" si="16"/>
        <v>7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8</v>
      </c>
      <c r="EL82" s="3">
        <v>10</v>
      </c>
      <c r="EM82" s="3">
        <v>28</v>
      </c>
      <c r="EN82" s="3">
        <v>24</v>
      </c>
      <c r="EO82" s="3">
        <v>0</v>
      </c>
      <c r="EP82" s="3">
        <v>0</v>
      </c>
      <c r="EQ82" s="89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97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91"/>
      <c r="FR82" s="91"/>
      <c r="FS82" s="3"/>
      <c r="FT82" s="3"/>
      <c r="FU82" s="3"/>
      <c r="FV82" s="3"/>
      <c r="FW82" s="3"/>
      <c r="FX82" s="3"/>
      <c r="FY82" s="3"/>
      <c r="FZ82" s="3"/>
      <c r="GA82" s="34"/>
    </row>
    <row r="83" spans="1:183" x14ac:dyDescent="0.25">
      <c r="A83" s="6"/>
      <c r="B83" s="79" t="s">
        <v>366</v>
      </c>
      <c r="C83" s="1" t="s">
        <v>367</v>
      </c>
      <c r="D83" s="141">
        <f t="shared" si="20"/>
        <v>0</v>
      </c>
      <c r="E83" s="141">
        <v>0</v>
      </c>
      <c r="F83" s="141">
        <v>0</v>
      </c>
      <c r="G83" s="141">
        <v>0</v>
      </c>
      <c r="H83" s="141">
        <v>0</v>
      </c>
      <c r="P83" s="77"/>
      <c r="Q83" s="159">
        <f t="shared" si="21"/>
        <v>0.59199999999999997</v>
      </c>
      <c r="R83" s="141">
        <v>0</v>
      </c>
      <c r="S83" s="141">
        <v>0.46</v>
      </c>
      <c r="T83" s="141">
        <v>0.46</v>
      </c>
      <c r="U83" s="141">
        <v>0</v>
      </c>
      <c r="V83" s="141">
        <v>1</v>
      </c>
      <c r="W83" s="141">
        <v>1</v>
      </c>
      <c r="X83" s="141">
        <v>1</v>
      </c>
      <c r="Y83" s="141">
        <v>1</v>
      </c>
      <c r="Z83" s="141">
        <v>1</v>
      </c>
      <c r="AA83" s="141">
        <v>0</v>
      </c>
      <c r="AB83" s="141">
        <v>0</v>
      </c>
      <c r="AC83" s="154">
        <v>0</v>
      </c>
      <c r="AD83" s="159">
        <v>1.2</v>
      </c>
      <c r="AE83" s="141">
        <v>1</v>
      </c>
      <c r="AF83" s="141">
        <v>2</v>
      </c>
      <c r="AG83" s="141">
        <v>2</v>
      </c>
      <c r="AH83" s="141">
        <v>2</v>
      </c>
      <c r="AI83" s="141">
        <v>2</v>
      </c>
      <c r="AJ83" s="141">
        <v>2</v>
      </c>
      <c r="AK83" s="141">
        <v>1</v>
      </c>
      <c r="AL83" s="141">
        <v>0</v>
      </c>
      <c r="AM83" s="141">
        <v>0</v>
      </c>
      <c r="AN83" s="141">
        <v>0</v>
      </c>
      <c r="AO83" s="141">
        <v>0</v>
      </c>
      <c r="AP83" s="141">
        <v>0</v>
      </c>
      <c r="AQ83" s="9">
        <f t="shared" si="22"/>
        <v>0.1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1</v>
      </c>
      <c r="BC83" s="3">
        <v>0</v>
      </c>
      <c r="BD83" s="117">
        <v>0.9</v>
      </c>
      <c r="BE83" s="3">
        <v>0</v>
      </c>
      <c r="BF83" s="3">
        <v>1</v>
      </c>
      <c r="BG83" s="3">
        <v>1</v>
      </c>
      <c r="BH83" s="3">
        <v>0</v>
      </c>
      <c r="BI83" s="3">
        <v>0</v>
      </c>
      <c r="BJ83" s="3">
        <v>1</v>
      </c>
      <c r="BK83" s="3">
        <v>1</v>
      </c>
      <c r="BL83" s="3">
        <v>1</v>
      </c>
      <c r="BM83" s="3">
        <v>0</v>
      </c>
      <c r="BN83" s="3">
        <v>1</v>
      </c>
      <c r="BO83" s="3">
        <v>2</v>
      </c>
      <c r="BP83" s="20">
        <v>1</v>
      </c>
      <c r="BQ83" s="65">
        <v>0.4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1</v>
      </c>
      <c r="BY83" s="3">
        <v>1</v>
      </c>
      <c r="BZ83" s="3">
        <v>1</v>
      </c>
      <c r="CA83" s="3">
        <v>1</v>
      </c>
      <c r="CB83" s="3">
        <v>0</v>
      </c>
      <c r="CC83" s="3">
        <v>0</v>
      </c>
      <c r="CD83" s="91"/>
      <c r="CE83" s="3"/>
      <c r="CF83" s="3"/>
      <c r="CG83" s="3"/>
      <c r="CH83" s="3"/>
      <c r="CI83" s="3"/>
      <c r="CJ83" s="3"/>
      <c r="CK83" s="3"/>
      <c r="CL83" s="66"/>
      <c r="CM83" s="66"/>
      <c r="CN83" s="66"/>
      <c r="CO83" s="3"/>
      <c r="CP83" s="3"/>
      <c r="CQ83" s="91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89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20"/>
      <c r="DQ83" s="91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91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89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97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91"/>
      <c r="FR83" s="91"/>
      <c r="FS83" s="3"/>
      <c r="FT83" s="3"/>
      <c r="FU83" s="3"/>
      <c r="FV83" s="3"/>
      <c r="FW83" s="3"/>
      <c r="FX83" s="3"/>
      <c r="FY83" s="3"/>
      <c r="FZ83" s="3"/>
      <c r="GA83" s="34"/>
    </row>
    <row r="84" spans="1:183" x14ac:dyDescent="0.25">
      <c r="A84" s="6" t="s">
        <v>176</v>
      </c>
      <c r="B84" s="25" t="s">
        <v>197</v>
      </c>
      <c r="C84" s="1" t="s">
        <v>196</v>
      </c>
      <c r="D84" s="141">
        <f t="shared" si="20"/>
        <v>0</v>
      </c>
      <c r="E84" s="141">
        <v>0</v>
      </c>
      <c r="F84" s="141">
        <v>0</v>
      </c>
      <c r="G84" s="141">
        <v>0</v>
      </c>
      <c r="H84" s="141">
        <v>0</v>
      </c>
      <c r="P84" s="77"/>
      <c r="Q84" s="159">
        <f t="shared" si="21"/>
        <v>0</v>
      </c>
      <c r="R84" s="141">
        <v>0</v>
      </c>
      <c r="S84" s="141">
        <v>0</v>
      </c>
      <c r="T84" s="141">
        <v>0</v>
      </c>
      <c r="U84" s="141">
        <v>0</v>
      </c>
      <c r="V84" s="141">
        <v>0</v>
      </c>
      <c r="W84" s="141">
        <v>0</v>
      </c>
      <c r="X84" s="141">
        <v>0</v>
      </c>
      <c r="Y84" s="141">
        <v>0</v>
      </c>
      <c r="Z84" s="141">
        <v>0</v>
      </c>
      <c r="AA84" s="141">
        <v>0</v>
      </c>
      <c r="AB84" s="141">
        <v>0</v>
      </c>
      <c r="AC84" s="154">
        <v>0</v>
      </c>
      <c r="AD84" s="159">
        <v>0</v>
      </c>
      <c r="AE84" s="141">
        <v>0</v>
      </c>
      <c r="AF84" s="141">
        <v>0</v>
      </c>
      <c r="AG84" s="141">
        <v>0</v>
      </c>
      <c r="AH84" s="141">
        <v>0</v>
      </c>
      <c r="AI84" s="141">
        <v>0</v>
      </c>
      <c r="AJ84" s="141">
        <v>0</v>
      </c>
      <c r="AK84" s="141">
        <v>0</v>
      </c>
      <c r="AL84" s="141">
        <v>0</v>
      </c>
      <c r="AM84" s="141">
        <v>0</v>
      </c>
      <c r="AN84" s="141">
        <v>0</v>
      </c>
      <c r="AO84" s="141">
        <v>0</v>
      </c>
      <c r="AP84" s="141">
        <v>0</v>
      </c>
      <c r="AQ84" s="9">
        <f t="shared" si="22"/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117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20">
        <v>0</v>
      </c>
      <c r="BQ84" s="65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16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66">
        <v>0</v>
      </c>
      <c r="CM84" s="66">
        <v>0</v>
      </c>
      <c r="CN84" s="66">
        <v>0</v>
      </c>
      <c r="CO84" s="3">
        <v>0</v>
      </c>
      <c r="CP84" s="3">
        <v>0</v>
      </c>
      <c r="CQ84" s="16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9">
        <v>0.7</v>
      </c>
      <c r="DE84" s="3">
        <v>3</v>
      </c>
      <c r="DF84" s="3">
        <v>1</v>
      </c>
      <c r="DG84" s="3">
        <v>1</v>
      </c>
      <c r="DH84" s="3">
        <v>1</v>
      </c>
      <c r="DI84" s="3">
        <v>1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20">
        <v>0</v>
      </c>
      <c r="DQ84" s="16">
        <v>0.7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3</v>
      </c>
      <c r="EC84" s="3">
        <v>4</v>
      </c>
      <c r="ED84" s="16">
        <f t="shared" si="16"/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89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97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91"/>
      <c r="FR84" s="91"/>
      <c r="FS84" s="3"/>
      <c r="FT84" s="3"/>
      <c r="FU84" s="3"/>
      <c r="FV84" s="3"/>
      <c r="FW84" s="3"/>
      <c r="FX84" s="3"/>
      <c r="FY84" s="3"/>
      <c r="FZ84" s="3"/>
      <c r="GA84" s="34"/>
    </row>
    <row r="85" spans="1:183" x14ac:dyDescent="0.25">
      <c r="A85" s="6" t="s">
        <v>270</v>
      </c>
      <c r="B85" s="25" t="s">
        <v>280</v>
      </c>
      <c r="C85" s="1" t="s">
        <v>279</v>
      </c>
      <c r="D85" s="141">
        <f t="shared" si="20"/>
        <v>0</v>
      </c>
      <c r="E85" s="141">
        <v>0</v>
      </c>
      <c r="F85" s="141">
        <v>0</v>
      </c>
      <c r="G85" s="141">
        <v>0</v>
      </c>
      <c r="H85" s="141">
        <v>0</v>
      </c>
      <c r="P85" s="77"/>
      <c r="Q85" s="159">
        <f t="shared" si="21"/>
        <v>0</v>
      </c>
      <c r="R85" s="141">
        <v>0</v>
      </c>
      <c r="S85" s="141">
        <v>0</v>
      </c>
      <c r="T85" s="141">
        <v>0</v>
      </c>
      <c r="U85" s="141">
        <v>0</v>
      </c>
      <c r="V85" s="141">
        <v>0</v>
      </c>
      <c r="W85" s="141">
        <v>0</v>
      </c>
      <c r="X85" s="141">
        <v>0</v>
      </c>
      <c r="Y85" s="141">
        <v>0</v>
      </c>
      <c r="Z85" s="141">
        <v>0</v>
      </c>
      <c r="AA85" s="141">
        <v>0</v>
      </c>
      <c r="AB85" s="141">
        <v>0</v>
      </c>
      <c r="AC85" s="154">
        <v>0</v>
      </c>
      <c r="AD85" s="159">
        <v>0</v>
      </c>
      <c r="AE85" s="141">
        <v>0</v>
      </c>
      <c r="AF85" s="141">
        <v>0</v>
      </c>
      <c r="AG85" s="141">
        <v>0</v>
      </c>
      <c r="AH85" s="141">
        <v>0</v>
      </c>
      <c r="AI85" s="141">
        <v>0</v>
      </c>
      <c r="AJ85" s="141">
        <v>0</v>
      </c>
      <c r="AK85" s="141">
        <v>0</v>
      </c>
      <c r="AL85" s="141">
        <v>0</v>
      </c>
      <c r="AM85" s="141">
        <v>0</v>
      </c>
      <c r="AN85" s="141">
        <v>0</v>
      </c>
      <c r="AO85" s="141">
        <v>0</v>
      </c>
      <c r="AP85" s="141">
        <v>0</v>
      </c>
      <c r="AQ85" s="9">
        <f t="shared" si="22"/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117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20">
        <v>0</v>
      </c>
      <c r="BQ85" s="65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16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66">
        <v>0</v>
      </c>
      <c r="CM85" s="66">
        <v>0</v>
      </c>
      <c r="CN85" s="66">
        <v>0</v>
      </c>
      <c r="CO85" s="3">
        <v>0</v>
      </c>
      <c r="CP85" s="3">
        <v>0</v>
      </c>
      <c r="CQ85" s="16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9">
        <v>0.1</v>
      </c>
      <c r="DE85" s="3">
        <v>0</v>
      </c>
      <c r="DF85" s="3">
        <v>1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20">
        <v>0</v>
      </c>
      <c r="DQ85" s="16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16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89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97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91"/>
      <c r="FR85" s="91"/>
      <c r="FS85" s="3"/>
      <c r="FT85" s="3"/>
      <c r="FU85" s="3"/>
      <c r="FV85" s="3"/>
      <c r="FW85" s="3"/>
      <c r="FX85" s="3"/>
      <c r="FY85" s="3"/>
      <c r="FZ85" s="3"/>
      <c r="GA85" s="34"/>
    </row>
    <row r="86" spans="1:183" x14ac:dyDescent="0.25">
      <c r="A86" s="11" t="s">
        <v>204</v>
      </c>
      <c r="B86" s="25" t="s">
        <v>213</v>
      </c>
      <c r="C86" s="1" t="s">
        <v>212</v>
      </c>
      <c r="D86" s="141">
        <f t="shared" si="20"/>
        <v>28.25</v>
      </c>
      <c r="E86" s="141">
        <v>29</v>
      </c>
      <c r="F86" s="141">
        <v>28</v>
      </c>
      <c r="G86" s="141">
        <v>30</v>
      </c>
      <c r="H86" s="141">
        <v>26</v>
      </c>
      <c r="P86" s="77"/>
      <c r="Q86" s="159">
        <f t="shared" si="21"/>
        <v>36</v>
      </c>
      <c r="R86" s="141">
        <v>36</v>
      </c>
      <c r="S86" s="141">
        <v>38</v>
      </c>
      <c r="T86" s="141">
        <v>42</v>
      </c>
      <c r="U86" s="141">
        <v>35</v>
      </c>
      <c r="V86" s="141">
        <v>31</v>
      </c>
      <c r="W86" s="141">
        <v>39</v>
      </c>
      <c r="X86" s="141">
        <v>36</v>
      </c>
      <c r="Y86" s="141">
        <v>39</v>
      </c>
      <c r="Z86" s="141">
        <v>35</v>
      </c>
      <c r="AA86" s="141">
        <v>29</v>
      </c>
      <c r="AB86" s="141">
        <v>0</v>
      </c>
      <c r="AC86" s="154">
        <v>0</v>
      </c>
      <c r="AD86" s="159">
        <v>25.5</v>
      </c>
      <c r="AE86" s="141">
        <v>20</v>
      </c>
      <c r="AF86" s="141">
        <v>20</v>
      </c>
      <c r="AG86" s="141">
        <v>26</v>
      </c>
      <c r="AH86" s="141">
        <v>24</v>
      </c>
      <c r="AI86" s="141">
        <v>25</v>
      </c>
      <c r="AJ86" s="141">
        <v>30</v>
      </c>
      <c r="AK86" s="141">
        <v>27</v>
      </c>
      <c r="AL86" s="141">
        <v>28</v>
      </c>
      <c r="AM86" s="141">
        <v>28</v>
      </c>
      <c r="AN86" s="141">
        <v>27</v>
      </c>
      <c r="AO86" s="141">
        <v>0</v>
      </c>
      <c r="AP86" s="141">
        <v>0</v>
      </c>
      <c r="AQ86" s="9">
        <f t="shared" si="22"/>
        <v>22.1</v>
      </c>
      <c r="AR86" s="3">
        <v>24</v>
      </c>
      <c r="AS86" s="3">
        <v>23</v>
      </c>
      <c r="AT86" s="3">
        <v>24</v>
      </c>
      <c r="AU86" s="3">
        <v>18</v>
      </c>
      <c r="AV86" s="3">
        <v>20</v>
      </c>
      <c r="AW86" s="3">
        <v>23</v>
      </c>
      <c r="AX86" s="3">
        <v>21</v>
      </c>
      <c r="AY86" s="3">
        <v>23</v>
      </c>
      <c r="AZ86" s="3">
        <v>24</v>
      </c>
      <c r="BA86" s="3">
        <v>19</v>
      </c>
      <c r="BB86" s="3">
        <v>0</v>
      </c>
      <c r="BC86" s="3">
        <v>2</v>
      </c>
      <c r="BD86" s="117">
        <v>19.2</v>
      </c>
      <c r="BE86" s="3">
        <v>19</v>
      </c>
      <c r="BF86" s="3">
        <v>20</v>
      </c>
      <c r="BG86" s="3">
        <v>16</v>
      </c>
      <c r="BH86" s="3">
        <v>19</v>
      </c>
      <c r="BI86" s="3">
        <v>19</v>
      </c>
      <c r="BJ86" s="3">
        <v>17</v>
      </c>
      <c r="BK86" s="3">
        <v>22</v>
      </c>
      <c r="BL86" s="3">
        <v>19</v>
      </c>
      <c r="BM86" s="3">
        <v>21</v>
      </c>
      <c r="BN86" s="3">
        <v>20</v>
      </c>
      <c r="BO86" s="3">
        <v>0</v>
      </c>
      <c r="BP86" s="20">
        <v>0</v>
      </c>
      <c r="BQ86" s="65">
        <v>20</v>
      </c>
      <c r="BR86" s="3">
        <v>16</v>
      </c>
      <c r="BS86" s="3">
        <v>16</v>
      </c>
      <c r="BT86" s="3">
        <v>20</v>
      </c>
      <c r="BU86" s="3">
        <v>18</v>
      </c>
      <c r="BV86" s="3">
        <v>21</v>
      </c>
      <c r="BW86" s="3">
        <v>19</v>
      </c>
      <c r="BX86" s="3">
        <v>21</v>
      </c>
      <c r="BY86" s="3">
        <v>25</v>
      </c>
      <c r="BZ86" s="3">
        <v>23</v>
      </c>
      <c r="CA86" s="3">
        <v>21</v>
      </c>
      <c r="CB86" s="3">
        <v>0</v>
      </c>
      <c r="CC86" s="3">
        <v>0</v>
      </c>
      <c r="CD86" s="16">
        <v>16.011000000000003</v>
      </c>
      <c r="CE86" s="3">
        <v>17</v>
      </c>
      <c r="CF86" s="3">
        <v>20</v>
      </c>
      <c r="CG86" s="3">
        <v>18</v>
      </c>
      <c r="CH86" s="3">
        <v>17</v>
      </c>
      <c r="CI86" s="3">
        <v>15</v>
      </c>
      <c r="CJ86" s="3">
        <v>17</v>
      </c>
      <c r="CK86" s="3">
        <v>15</v>
      </c>
      <c r="CL86" s="66">
        <v>15.83</v>
      </c>
      <c r="CM86" s="66">
        <v>13.58</v>
      </c>
      <c r="CN86" s="66">
        <v>11.7</v>
      </c>
      <c r="CO86" s="3">
        <v>0</v>
      </c>
      <c r="CP86" s="3">
        <v>0</v>
      </c>
      <c r="CQ86" s="16">
        <v>17.2</v>
      </c>
      <c r="CR86" s="3">
        <v>15</v>
      </c>
      <c r="CS86" s="3">
        <v>11</v>
      </c>
      <c r="CT86" s="3">
        <v>18</v>
      </c>
      <c r="CU86" s="3">
        <v>18</v>
      </c>
      <c r="CV86" s="3">
        <v>15</v>
      </c>
      <c r="CW86" s="3">
        <v>23</v>
      </c>
      <c r="CX86" s="3">
        <v>21</v>
      </c>
      <c r="CY86" s="3">
        <v>20</v>
      </c>
      <c r="CZ86" s="3">
        <v>17</v>
      </c>
      <c r="DA86" s="3">
        <v>14</v>
      </c>
      <c r="DB86" s="3">
        <v>0</v>
      </c>
      <c r="DC86" s="3">
        <v>0</v>
      </c>
      <c r="DD86" s="9">
        <v>9.7330000000000005</v>
      </c>
      <c r="DE86" s="3">
        <v>0</v>
      </c>
      <c r="DF86" s="3">
        <v>4.33</v>
      </c>
      <c r="DG86" s="3">
        <v>10</v>
      </c>
      <c r="DH86" s="3">
        <v>10</v>
      </c>
      <c r="DI86" s="3">
        <v>14</v>
      </c>
      <c r="DJ86" s="3">
        <v>13</v>
      </c>
      <c r="DK86" s="3">
        <v>12</v>
      </c>
      <c r="DL86" s="3">
        <v>11</v>
      </c>
      <c r="DM86" s="3">
        <v>10</v>
      </c>
      <c r="DN86" s="3">
        <v>13</v>
      </c>
      <c r="DO86" s="3">
        <v>0</v>
      </c>
      <c r="DP86" s="20">
        <v>0</v>
      </c>
      <c r="DQ86" s="16">
        <v>8.0329999999999995</v>
      </c>
      <c r="DR86" s="3">
        <v>9</v>
      </c>
      <c r="DS86" s="3">
        <v>7</v>
      </c>
      <c r="DT86" s="3">
        <v>8</v>
      </c>
      <c r="DU86" s="3">
        <v>9</v>
      </c>
      <c r="DV86" s="3">
        <v>2.33</v>
      </c>
      <c r="DW86" s="3">
        <v>9</v>
      </c>
      <c r="DX86" s="3">
        <v>9</v>
      </c>
      <c r="DY86" s="3">
        <v>10</v>
      </c>
      <c r="DZ86" s="3">
        <v>9</v>
      </c>
      <c r="EA86" s="3">
        <v>8</v>
      </c>
      <c r="EB86" s="3">
        <v>0</v>
      </c>
      <c r="EC86" s="3">
        <v>0</v>
      </c>
      <c r="ED86" s="16">
        <f t="shared" si="16"/>
        <v>3.1</v>
      </c>
      <c r="EE86" s="3"/>
      <c r="EF86" s="3">
        <v>0</v>
      </c>
      <c r="EG86" s="3">
        <v>0</v>
      </c>
      <c r="EH86" s="3">
        <v>2</v>
      </c>
      <c r="EI86" s="3">
        <v>2</v>
      </c>
      <c r="EJ86" s="3">
        <v>3</v>
      </c>
      <c r="EK86" s="3">
        <v>3</v>
      </c>
      <c r="EL86" s="3">
        <v>7</v>
      </c>
      <c r="EM86" s="3">
        <v>7</v>
      </c>
      <c r="EN86" s="3">
        <v>7</v>
      </c>
      <c r="EO86" s="3">
        <v>0</v>
      </c>
      <c r="EP86" s="3">
        <v>0</v>
      </c>
      <c r="EQ86" s="89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97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91"/>
      <c r="FR86" s="91"/>
      <c r="FS86" s="3"/>
      <c r="FT86" s="3"/>
      <c r="FU86" s="3"/>
      <c r="FV86" s="3"/>
      <c r="FW86" s="3"/>
      <c r="FX86" s="3"/>
      <c r="FY86" s="3"/>
      <c r="FZ86" s="3"/>
      <c r="GA86" s="34"/>
    </row>
    <row r="87" spans="1:183" x14ac:dyDescent="0.25">
      <c r="A87" s="6" t="s">
        <v>228</v>
      </c>
      <c r="B87" s="27" t="s">
        <v>234</v>
      </c>
      <c r="C87" s="4" t="s">
        <v>233</v>
      </c>
      <c r="D87" s="137">
        <f t="shared" si="20"/>
        <v>1</v>
      </c>
      <c r="E87" s="137">
        <v>0</v>
      </c>
      <c r="F87" s="137">
        <v>0</v>
      </c>
      <c r="G87" s="137">
        <v>0</v>
      </c>
      <c r="H87" s="137">
        <v>4</v>
      </c>
      <c r="I87" s="4"/>
      <c r="J87" s="4"/>
      <c r="K87" s="4"/>
      <c r="L87" s="4"/>
      <c r="M87" s="4"/>
      <c r="N87" s="4"/>
      <c r="O87" s="4"/>
      <c r="P87" s="178"/>
      <c r="Q87" s="158">
        <f t="shared" si="21"/>
        <v>2.6</v>
      </c>
      <c r="R87" s="137">
        <v>0</v>
      </c>
      <c r="S87" s="137">
        <v>2</v>
      </c>
      <c r="T87" s="137">
        <v>3</v>
      </c>
      <c r="U87" s="137">
        <v>1</v>
      </c>
      <c r="V87" s="137">
        <v>4</v>
      </c>
      <c r="W87" s="137">
        <v>3</v>
      </c>
      <c r="X87" s="137">
        <v>3</v>
      </c>
      <c r="Y87" s="137">
        <v>3</v>
      </c>
      <c r="Z87" s="137">
        <v>4</v>
      </c>
      <c r="AA87" s="137">
        <v>3</v>
      </c>
      <c r="AB87" s="137">
        <v>0</v>
      </c>
      <c r="AC87" s="140">
        <v>0</v>
      </c>
      <c r="AD87" s="158">
        <v>2.6</v>
      </c>
      <c r="AE87" s="137">
        <v>0</v>
      </c>
      <c r="AF87" s="137">
        <v>1</v>
      </c>
      <c r="AG87" s="137">
        <v>2</v>
      </c>
      <c r="AH87" s="137">
        <v>1</v>
      </c>
      <c r="AI87" s="137">
        <v>1</v>
      </c>
      <c r="AJ87" s="137">
        <v>2</v>
      </c>
      <c r="AK87" s="137">
        <v>1</v>
      </c>
      <c r="AL87" s="137">
        <v>3</v>
      </c>
      <c r="AM87" s="137">
        <v>4</v>
      </c>
      <c r="AN87" s="137">
        <v>5</v>
      </c>
      <c r="AO87" s="137">
        <v>4</v>
      </c>
      <c r="AP87" s="140">
        <v>2</v>
      </c>
      <c r="AQ87" s="8">
        <f t="shared" si="22"/>
        <v>3.6</v>
      </c>
      <c r="AR87" s="14">
        <v>0</v>
      </c>
      <c r="AS87" s="14">
        <v>3</v>
      </c>
      <c r="AT87" s="14">
        <v>7</v>
      </c>
      <c r="AU87" s="14">
        <v>7</v>
      </c>
      <c r="AV87" s="14">
        <v>5</v>
      </c>
      <c r="AW87" s="14">
        <v>7</v>
      </c>
      <c r="AX87" s="14">
        <v>2</v>
      </c>
      <c r="AY87" s="14">
        <v>2</v>
      </c>
      <c r="AZ87" s="14">
        <v>2</v>
      </c>
      <c r="BA87" s="14">
        <v>1</v>
      </c>
      <c r="BB87" s="14">
        <v>0</v>
      </c>
      <c r="BC87" s="19">
        <v>0</v>
      </c>
      <c r="BD87" s="116">
        <v>2.8</v>
      </c>
      <c r="BE87" s="14">
        <v>0</v>
      </c>
      <c r="BF87" s="14">
        <v>6</v>
      </c>
      <c r="BG87" s="14">
        <v>7</v>
      </c>
      <c r="BH87" s="14">
        <v>3</v>
      </c>
      <c r="BI87" s="14">
        <v>2</v>
      </c>
      <c r="BJ87" s="14">
        <v>2</v>
      </c>
      <c r="BK87" s="14">
        <v>2</v>
      </c>
      <c r="BL87" s="14">
        <v>1</v>
      </c>
      <c r="BM87" s="14">
        <v>2</v>
      </c>
      <c r="BN87" s="14">
        <v>3</v>
      </c>
      <c r="BO87" s="14">
        <v>0</v>
      </c>
      <c r="BP87" s="19">
        <v>0</v>
      </c>
      <c r="BQ87" s="70">
        <v>3.9</v>
      </c>
      <c r="BR87" s="14">
        <v>0</v>
      </c>
      <c r="BS87" s="14">
        <v>1</v>
      </c>
      <c r="BT87" s="14">
        <v>4</v>
      </c>
      <c r="BU87" s="14">
        <v>4</v>
      </c>
      <c r="BV87" s="14">
        <v>5</v>
      </c>
      <c r="BW87" s="14">
        <v>5</v>
      </c>
      <c r="BX87" s="14">
        <v>5</v>
      </c>
      <c r="BY87" s="14">
        <v>4</v>
      </c>
      <c r="BZ87" s="14">
        <v>4</v>
      </c>
      <c r="CA87" s="14">
        <v>4</v>
      </c>
      <c r="CB87" s="14">
        <v>3</v>
      </c>
      <c r="CC87" s="14">
        <v>0</v>
      </c>
      <c r="CD87" s="17">
        <v>1.101</v>
      </c>
      <c r="CE87" s="14">
        <v>0</v>
      </c>
      <c r="CF87" s="14">
        <v>1</v>
      </c>
      <c r="CG87" s="14">
        <v>1</v>
      </c>
      <c r="CH87" s="14">
        <v>1</v>
      </c>
      <c r="CI87" s="14">
        <v>1</v>
      </c>
      <c r="CJ87" s="14">
        <v>1</v>
      </c>
      <c r="CK87" s="14">
        <v>2</v>
      </c>
      <c r="CL87" s="71">
        <v>0.67</v>
      </c>
      <c r="CM87" s="71">
        <v>0.67</v>
      </c>
      <c r="CN87" s="71">
        <v>0.67</v>
      </c>
      <c r="CO87" s="14">
        <v>1</v>
      </c>
      <c r="CP87" s="14">
        <v>1</v>
      </c>
      <c r="CQ87" s="19">
        <v>2.7</v>
      </c>
      <c r="CR87" s="14">
        <v>2</v>
      </c>
      <c r="CS87" s="14">
        <v>3</v>
      </c>
      <c r="CT87" s="14">
        <v>3</v>
      </c>
      <c r="CU87" s="14">
        <v>3</v>
      </c>
      <c r="CV87" s="14">
        <v>3</v>
      </c>
      <c r="CW87" s="14">
        <v>3</v>
      </c>
      <c r="CX87" s="14">
        <v>3</v>
      </c>
      <c r="CY87" s="14">
        <v>2</v>
      </c>
      <c r="CZ87" s="14">
        <v>2</v>
      </c>
      <c r="DA87" s="14">
        <v>2</v>
      </c>
      <c r="DB87" s="14">
        <v>1</v>
      </c>
      <c r="DC87" s="14">
        <v>0</v>
      </c>
      <c r="DD87" s="8">
        <v>5.5</v>
      </c>
      <c r="DE87" s="14">
        <v>0</v>
      </c>
      <c r="DF87" s="14">
        <v>10</v>
      </c>
      <c r="DG87" s="14">
        <v>8</v>
      </c>
      <c r="DH87" s="14">
        <v>7</v>
      </c>
      <c r="DI87" s="14">
        <v>4</v>
      </c>
      <c r="DJ87" s="14">
        <v>4</v>
      </c>
      <c r="DK87" s="14">
        <v>6</v>
      </c>
      <c r="DL87" s="14">
        <v>5</v>
      </c>
      <c r="DM87" s="14">
        <v>4</v>
      </c>
      <c r="DN87" s="14">
        <v>3</v>
      </c>
      <c r="DO87" s="14">
        <v>4</v>
      </c>
      <c r="DP87" s="14">
        <v>0</v>
      </c>
      <c r="DQ87" s="19">
        <v>4.9000000000000004</v>
      </c>
      <c r="DR87" s="14">
        <v>0</v>
      </c>
      <c r="DS87" s="14">
        <v>6</v>
      </c>
      <c r="DT87" s="14">
        <v>7</v>
      </c>
      <c r="DU87" s="14">
        <v>6</v>
      </c>
      <c r="DV87" s="14">
        <v>5</v>
      </c>
      <c r="DW87" s="14">
        <v>4</v>
      </c>
      <c r="DX87" s="14">
        <v>4</v>
      </c>
      <c r="DY87" s="14">
        <v>5</v>
      </c>
      <c r="DZ87" s="14">
        <v>5</v>
      </c>
      <c r="EA87" s="14">
        <v>5</v>
      </c>
      <c r="EB87" s="14">
        <v>2</v>
      </c>
      <c r="EC87" s="14">
        <v>0</v>
      </c>
      <c r="ED87" s="17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99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00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01"/>
      <c r="FR87" s="101"/>
      <c r="FS87" s="3"/>
      <c r="FT87" s="3"/>
      <c r="FU87" s="3"/>
      <c r="FV87" s="3"/>
      <c r="FW87" s="3"/>
      <c r="FX87" s="3"/>
      <c r="FY87" s="3"/>
      <c r="FZ87" s="3"/>
      <c r="GA87" s="34"/>
    </row>
    <row r="88" spans="1:183" x14ac:dyDescent="0.25">
      <c r="A88" s="6" t="s">
        <v>159</v>
      </c>
      <c r="B88" s="68" t="s">
        <v>15</v>
      </c>
      <c r="C88" s="1" t="s">
        <v>16</v>
      </c>
      <c r="D88" s="141">
        <f t="shared" si="20"/>
        <v>0.75</v>
      </c>
      <c r="E88" s="141">
        <v>0</v>
      </c>
      <c r="F88" s="141">
        <v>1</v>
      </c>
      <c r="G88" s="141">
        <v>1</v>
      </c>
      <c r="H88" s="141">
        <v>1</v>
      </c>
      <c r="P88" s="77"/>
      <c r="Q88" s="159">
        <f t="shared" si="21"/>
        <v>1.2</v>
      </c>
      <c r="R88" s="141">
        <v>1</v>
      </c>
      <c r="S88" s="141">
        <v>1</v>
      </c>
      <c r="T88" s="141">
        <v>1</v>
      </c>
      <c r="U88" s="141">
        <v>1</v>
      </c>
      <c r="V88" s="141">
        <v>1</v>
      </c>
      <c r="W88" s="141">
        <v>1</v>
      </c>
      <c r="X88" s="141">
        <v>1</v>
      </c>
      <c r="Y88" s="141">
        <v>1</v>
      </c>
      <c r="Z88" s="141">
        <v>1</v>
      </c>
      <c r="AA88" s="141">
        <v>1</v>
      </c>
      <c r="AB88" s="141">
        <v>1</v>
      </c>
      <c r="AC88" s="154">
        <v>1</v>
      </c>
      <c r="AD88" s="159">
        <v>3.1</v>
      </c>
      <c r="AE88" s="141">
        <v>4</v>
      </c>
      <c r="AF88" s="141">
        <v>4</v>
      </c>
      <c r="AG88" s="141">
        <v>4</v>
      </c>
      <c r="AH88" s="141">
        <v>4</v>
      </c>
      <c r="AI88" s="141">
        <v>3</v>
      </c>
      <c r="AJ88" s="141">
        <v>3</v>
      </c>
      <c r="AK88" s="141">
        <v>2</v>
      </c>
      <c r="AL88" s="141">
        <v>3</v>
      </c>
      <c r="AM88" s="141">
        <v>2</v>
      </c>
      <c r="AN88" s="141">
        <v>2</v>
      </c>
      <c r="AO88" s="141">
        <v>0</v>
      </c>
      <c r="AP88" s="154">
        <v>0</v>
      </c>
      <c r="AQ88" s="9">
        <f t="shared" si="22"/>
        <v>1.4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1</v>
      </c>
      <c r="AX88" s="3">
        <v>1</v>
      </c>
      <c r="AY88" s="3">
        <v>3</v>
      </c>
      <c r="AZ88" s="3">
        <v>3</v>
      </c>
      <c r="BA88" s="3">
        <v>2</v>
      </c>
      <c r="BB88" s="3">
        <v>2</v>
      </c>
      <c r="BC88" s="20">
        <v>2</v>
      </c>
      <c r="BD88" s="117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20">
        <v>0</v>
      </c>
      <c r="BQ88" s="65">
        <v>0.8</v>
      </c>
      <c r="BR88" s="3">
        <v>0</v>
      </c>
      <c r="BS88" s="3">
        <v>1</v>
      </c>
      <c r="BT88" s="3">
        <v>2</v>
      </c>
      <c r="BU88" s="3">
        <v>1</v>
      </c>
      <c r="BV88" s="3">
        <v>1</v>
      </c>
      <c r="BW88" s="3">
        <v>1</v>
      </c>
      <c r="BX88" s="3">
        <v>1</v>
      </c>
      <c r="BY88" s="3">
        <v>1</v>
      </c>
      <c r="BZ88" s="3">
        <v>0</v>
      </c>
      <c r="CA88" s="3">
        <v>0</v>
      </c>
      <c r="CB88" s="3">
        <v>0</v>
      </c>
      <c r="CC88" s="3">
        <v>0</v>
      </c>
      <c r="CD88" s="16">
        <v>0.623</v>
      </c>
      <c r="CE88" s="3">
        <v>0</v>
      </c>
      <c r="CF88" s="3">
        <v>0</v>
      </c>
      <c r="CG88" s="3">
        <v>0</v>
      </c>
      <c r="CH88" s="3">
        <v>0</v>
      </c>
      <c r="CI88" s="3">
        <v>1</v>
      </c>
      <c r="CJ88" s="3">
        <v>1</v>
      </c>
      <c r="CK88" s="3">
        <v>1</v>
      </c>
      <c r="CL88" s="66">
        <v>1.08</v>
      </c>
      <c r="CM88" s="66">
        <v>1.1000000000000001</v>
      </c>
      <c r="CN88" s="66">
        <v>1.05</v>
      </c>
      <c r="CO88" s="3">
        <v>0</v>
      </c>
      <c r="CP88" s="3">
        <v>0</v>
      </c>
      <c r="CQ88" s="20">
        <v>0.3</v>
      </c>
      <c r="CR88" s="3">
        <v>0</v>
      </c>
      <c r="CS88" s="3">
        <v>0</v>
      </c>
      <c r="CT88" s="3">
        <v>0</v>
      </c>
      <c r="CU88" s="3">
        <v>2</v>
      </c>
      <c r="CV88" s="3">
        <v>1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9">
        <v>0.3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1</v>
      </c>
      <c r="DM88" s="3">
        <v>1</v>
      </c>
      <c r="DN88" s="3">
        <v>1</v>
      </c>
      <c r="DO88" s="3">
        <v>0</v>
      </c>
      <c r="DP88" s="3">
        <v>0</v>
      </c>
      <c r="DQ88" s="20">
        <v>0.3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1</v>
      </c>
      <c r="DZ88" s="3">
        <v>1</v>
      </c>
      <c r="EA88" s="3">
        <v>1</v>
      </c>
      <c r="EB88" s="3">
        <v>0</v>
      </c>
      <c r="EC88" s="3">
        <v>0</v>
      </c>
      <c r="ED88" s="16">
        <f t="shared" ref="ED88:ED98" si="25">+IFERROR((SUM(EE88:EP88)/10),0)</f>
        <v>0.4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1</v>
      </c>
      <c r="EL88" s="3">
        <v>0</v>
      </c>
      <c r="EM88" s="3">
        <v>1</v>
      </c>
      <c r="EN88" s="3">
        <v>1</v>
      </c>
      <c r="EO88" s="3">
        <v>1</v>
      </c>
      <c r="EP88" s="3">
        <v>0</v>
      </c>
      <c r="EQ88" s="3">
        <f>+IFERROR((SUM(ER88:FC88)/10),0)</f>
        <v>0.5</v>
      </c>
      <c r="ER88" s="3">
        <v>0</v>
      </c>
      <c r="ES88" s="3">
        <v>1</v>
      </c>
      <c r="ET88" s="3">
        <v>0</v>
      </c>
      <c r="EU88" s="3">
        <v>0</v>
      </c>
      <c r="EV88" s="3">
        <v>0</v>
      </c>
      <c r="EW88" s="3">
        <v>2</v>
      </c>
      <c r="EX88" s="3">
        <v>1</v>
      </c>
      <c r="EY88" s="3">
        <v>1</v>
      </c>
      <c r="EZ88" s="3">
        <v>0</v>
      </c>
      <c r="FA88" s="3">
        <v>0</v>
      </c>
      <c r="FB88" s="3">
        <v>0</v>
      </c>
      <c r="FC88" s="3">
        <v>0</v>
      </c>
      <c r="FD88" s="69">
        <f t="shared" si="9"/>
        <v>0.2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1</v>
      </c>
      <c r="FL88" s="3">
        <v>1</v>
      </c>
      <c r="FM88" s="3">
        <v>0</v>
      </c>
      <c r="FN88" s="3">
        <v>0</v>
      </c>
      <c r="FO88" s="3">
        <v>0</v>
      </c>
      <c r="FP88" s="3">
        <v>0</v>
      </c>
      <c r="FQ88" s="16">
        <v>0</v>
      </c>
      <c r="FR88" s="102"/>
      <c r="GA88" s="34"/>
    </row>
    <row r="89" spans="1:183" x14ac:dyDescent="0.25">
      <c r="A89" s="6" t="s">
        <v>176</v>
      </c>
      <c r="B89" s="25" t="s">
        <v>188</v>
      </c>
      <c r="C89" s="1" t="s">
        <v>187</v>
      </c>
      <c r="D89" s="141">
        <f t="shared" si="20"/>
        <v>161.33500000000001</v>
      </c>
      <c r="E89" s="141">
        <v>122</v>
      </c>
      <c r="F89" s="141">
        <v>180.04</v>
      </c>
      <c r="G89" s="141">
        <v>186.71</v>
      </c>
      <c r="H89" s="141">
        <v>156.59</v>
      </c>
      <c r="P89" s="77"/>
      <c r="Q89" s="159">
        <f t="shared" si="21"/>
        <v>156.31299999999999</v>
      </c>
      <c r="R89" s="141">
        <v>12</v>
      </c>
      <c r="S89" s="141">
        <v>177.47</v>
      </c>
      <c r="T89" s="141">
        <v>177.15</v>
      </c>
      <c r="U89" s="141">
        <v>166.48000000000002</v>
      </c>
      <c r="V89" s="141">
        <v>181.9</v>
      </c>
      <c r="W89" s="141">
        <v>181.10999999999999</v>
      </c>
      <c r="X89" s="141">
        <v>174.48</v>
      </c>
      <c r="Y89" s="141">
        <v>166.98</v>
      </c>
      <c r="Z89" s="141">
        <v>174.63</v>
      </c>
      <c r="AA89" s="141">
        <v>137.98000000000002</v>
      </c>
      <c r="AB89" s="141">
        <v>7.6400000000000006</v>
      </c>
      <c r="AC89" s="154">
        <v>5.3100000000000005</v>
      </c>
      <c r="AD89" s="159">
        <v>181.98599999999996</v>
      </c>
      <c r="AE89" s="141">
        <v>115</v>
      </c>
      <c r="AF89" s="141">
        <v>172.45</v>
      </c>
      <c r="AG89" s="141">
        <v>159.44999999999999</v>
      </c>
      <c r="AH89" s="141">
        <v>160.25</v>
      </c>
      <c r="AI89" s="141">
        <v>146.47999999999999</v>
      </c>
      <c r="AJ89" s="141">
        <v>153.01999999999998</v>
      </c>
      <c r="AK89" s="141">
        <v>173.94</v>
      </c>
      <c r="AL89" s="141">
        <v>187.73000000000002</v>
      </c>
      <c r="AM89" s="141">
        <v>288.86</v>
      </c>
      <c r="AN89" s="141">
        <v>183.60000000000002</v>
      </c>
      <c r="AO89" s="141">
        <v>12.209999999999999</v>
      </c>
      <c r="AP89" s="154">
        <v>66.87</v>
      </c>
      <c r="AQ89" s="9">
        <f t="shared" si="22"/>
        <v>129.32599999999999</v>
      </c>
      <c r="AR89" s="3">
        <v>88</v>
      </c>
      <c r="AS89" s="3">
        <v>110.67</v>
      </c>
      <c r="AT89" s="3">
        <v>115.67</v>
      </c>
      <c r="AU89" s="3">
        <v>118.67</v>
      </c>
      <c r="AV89" s="3">
        <v>99.47</v>
      </c>
      <c r="AW89" s="3">
        <v>139.06</v>
      </c>
      <c r="AX89" s="3">
        <v>132.07000000000002</v>
      </c>
      <c r="AY89" s="3">
        <v>165.56</v>
      </c>
      <c r="AZ89" s="3">
        <v>156.20000000000002</v>
      </c>
      <c r="BA89" s="3">
        <v>142.35</v>
      </c>
      <c r="BB89" s="3">
        <v>13.440000000000001</v>
      </c>
      <c r="BC89" s="20">
        <v>12.100000000000001</v>
      </c>
      <c r="BD89" s="117">
        <v>83.76</v>
      </c>
      <c r="BE89" s="3">
        <v>54</v>
      </c>
      <c r="BF89" s="3">
        <v>65</v>
      </c>
      <c r="BG89" s="3">
        <v>88</v>
      </c>
      <c r="BH89" s="3">
        <v>87</v>
      </c>
      <c r="BI89" s="3">
        <v>88.6</v>
      </c>
      <c r="BJ89" s="3">
        <v>89.4</v>
      </c>
      <c r="BK89" s="3">
        <v>87.6</v>
      </c>
      <c r="BL89" s="3">
        <v>93</v>
      </c>
      <c r="BM89" s="3">
        <v>103</v>
      </c>
      <c r="BN89" s="3">
        <v>82</v>
      </c>
      <c r="BO89" s="3">
        <v>0</v>
      </c>
      <c r="BP89" s="20">
        <v>0</v>
      </c>
      <c r="BQ89" s="65">
        <v>89.92</v>
      </c>
      <c r="BR89" s="3">
        <v>71.400000000000006</v>
      </c>
      <c r="BS89" s="3">
        <v>79.400000000000006</v>
      </c>
      <c r="BT89" s="3">
        <v>83.2</v>
      </c>
      <c r="BU89" s="3">
        <v>92.8</v>
      </c>
      <c r="BV89" s="3">
        <v>109.6</v>
      </c>
      <c r="BW89" s="3">
        <v>89.8</v>
      </c>
      <c r="BX89" s="3">
        <v>87.2</v>
      </c>
      <c r="BY89" s="3">
        <v>94</v>
      </c>
      <c r="BZ89" s="3">
        <v>84.2</v>
      </c>
      <c r="CA89" s="3">
        <v>107.6</v>
      </c>
      <c r="CB89" s="3">
        <v>0</v>
      </c>
      <c r="CC89" s="3">
        <v>0</v>
      </c>
      <c r="CD89" s="16">
        <v>122.56599999999999</v>
      </c>
      <c r="CE89" s="3">
        <v>58.8</v>
      </c>
      <c r="CF89" s="3">
        <v>95.8</v>
      </c>
      <c r="CG89" s="3">
        <v>108.6</v>
      </c>
      <c r="CH89" s="3">
        <v>97.6</v>
      </c>
      <c r="CI89" s="3">
        <v>94.6</v>
      </c>
      <c r="CJ89" s="3">
        <v>103.2</v>
      </c>
      <c r="CK89" s="3">
        <v>117.8</v>
      </c>
      <c r="CL89" s="66">
        <v>155.53</v>
      </c>
      <c r="CM89" s="66">
        <v>190.26</v>
      </c>
      <c r="CN89" s="66">
        <v>203.47</v>
      </c>
      <c r="CO89" s="3">
        <v>0</v>
      </c>
      <c r="CP89" s="3">
        <v>0</v>
      </c>
      <c r="CQ89" s="20">
        <v>51.61</v>
      </c>
      <c r="CR89" s="3">
        <v>38.4</v>
      </c>
      <c r="CS89" s="3">
        <v>32.799999999999997</v>
      </c>
      <c r="CT89" s="3">
        <v>40.299999999999997</v>
      </c>
      <c r="CU89" s="3">
        <v>39.200000000000003</v>
      </c>
      <c r="CV89" s="3">
        <v>42.8</v>
      </c>
      <c r="CW89" s="3">
        <v>55.8</v>
      </c>
      <c r="CX89" s="3">
        <v>42.2</v>
      </c>
      <c r="CY89" s="3">
        <v>63.6</v>
      </c>
      <c r="CZ89" s="3">
        <v>77.8</v>
      </c>
      <c r="DA89" s="3">
        <v>83.2</v>
      </c>
      <c r="DB89" s="3">
        <v>0</v>
      </c>
      <c r="DC89" s="3">
        <v>0</v>
      </c>
      <c r="DD89" s="9">
        <v>49.980000000000004</v>
      </c>
      <c r="DE89" s="3">
        <v>55.8</v>
      </c>
      <c r="DF89" s="3">
        <v>57.6</v>
      </c>
      <c r="DG89" s="3">
        <v>57.6</v>
      </c>
      <c r="DH89" s="3">
        <v>45.4</v>
      </c>
      <c r="DI89" s="3">
        <v>36.6</v>
      </c>
      <c r="DJ89" s="3">
        <v>37.6</v>
      </c>
      <c r="DK89" s="3">
        <v>47.6</v>
      </c>
      <c r="DL89" s="3">
        <v>59.4</v>
      </c>
      <c r="DM89" s="3">
        <v>50.6</v>
      </c>
      <c r="DN89" s="3">
        <v>51.6</v>
      </c>
      <c r="DO89" s="3">
        <v>0</v>
      </c>
      <c r="DP89" s="3">
        <v>0</v>
      </c>
      <c r="DQ89" s="20">
        <v>47.208000000000006</v>
      </c>
      <c r="DR89" s="3">
        <v>28</v>
      </c>
      <c r="DS89" s="3">
        <v>46</v>
      </c>
      <c r="DT89" s="3">
        <v>52</v>
      </c>
      <c r="DU89" s="3">
        <v>51.8</v>
      </c>
      <c r="DV89" s="3">
        <v>40.799999999999997</v>
      </c>
      <c r="DW89" s="3">
        <v>43.07</v>
      </c>
      <c r="DX89" s="3">
        <v>50.01</v>
      </c>
      <c r="DY89" s="3">
        <v>58.8</v>
      </c>
      <c r="DZ89" s="3">
        <v>48.8</v>
      </c>
      <c r="EA89" s="3">
        <v>52.8</v>
      </c>
      <c r="EB89" s="3">
        <v>0</v>
      </c>
      <c r="EC89" s="3">
        <v>0</v>
      </c>
      <c r="ED89" s="16">
        <f t="shared" si="25"/>
        <v>27.4</v>
      </c>
      <c r="EE89" s="3">
        <v>0</v>
      </c>
      <c r="EF89" s="3">
        <v>0</v>
      </c>
      <c r="EG89" s="3">
        <v>1</v>
      </c>
      <c r="EH89" s="3">
        <v>18</v>
      </c>
      <c r="EI89" s="3">
        <v>22</v>
      </c>
      <c r="EJ89" s="3">
        <v>30</v>
      </c>
      <c r="EK89" s="3">
        <v>42</v>
      </c>
      <c r="EL89" s="3">
        <v>53</v>
      </c>
      <c r="EM89" s="3">
        <v>44</v>
      </c>
      <c r="EN89" s="3">
        <v>33</v>
      </c>
      <c r="EO89" s="3">
        <v>24</v>
      </c>
      <c r="EP89" s="3">
        <v>7</v>
      </c>
      <c r="EQ89" s="87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97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91"/>
      <c r="FR89" s="102"/>
      <c r="GA89" s="34"/>
    </row>
    <row r="90" spans="1:183" x14ac:dyDescent="0.25">
      <c r="A90" s="6" t="s">
        <v>165</v>
      </c>
      <c r="B90" s="25" t="s">
        <v>166</v>
      </c>
      <c r="C90" s="1" t="s">
        <v>164</v>
      </c>
      <c r="D90" s="141">
        <f t="shared" si="20"/>
        <v>12.5</v>
      </c>
      <c r="E90" s="141">
        <v>11</v>
      </c>
      <c r="F90" s="141">
        <v>13</v>
      </c>
      <c r="G90" s="141">
        <v>13</v>
      </c>
      <c r="H90" s="141">
        <v>13</v>
      </c>
      <c r="P90" s="77"/>
      <c r="Q90" s="159">
        <f t="shared" si="21"/>
        <v>14.876000000000001</v>
      </c>
      <c r="R90" s="141">
        <v>4</v>
      </c>
      <c r="S90" s="141">
        <v>9.4600000000000009</v>
      </c>
      <c r="T90" s="141">
        <v>15.46</v>
      </c>
      <c r="U90" s="141">
        <v>17.46</v>
      </c>
      <c r="V90" s="141">
        <v>15.46</v>
      </c>
      <c r="W90" s="141">
        <v>15.46</v>
      </c>
      <c r="X90" s="141">
        <v>13.46</v>
      </c>
      <c r="Y90" s="141">
        <v>16</v>
      </c>
      <c r="Z90" s="141">
        <v>14</v>
      </c>
      <c r="AA90" s="141">
        <v>14</v>
      </c>
      <c r="AB90" s="141">
        <v>7</v>
      </c>
      <c r="AC90" s="154">
        <v>7</v>
      </c>
      <c r="AD90" s="159">
        <v>17.824999999999999</v>
      </c>
      <c r="AE90" s="141">
        <v>10.39</v>
      </c>
      <c r="AF90" s="141">
        <v>13.39</v>
      </c>
      <c r="AG90" s="141">
        <v>16.39</v>
      </c>
      <c r="AH90" s="141">
        <v>17.93</v>
      </c>
      <c r="AI90" s="141">
        <v>13.91</v>
      </c>
      <c r="AJ90" s="141">
        <v>18.12</v>
      </c>
      <c r="AK90" s="141">
        <v>19.12</v>
      </c>
      <c r="AL90" s="141">
        <v>20</v>
      </c>
      <c r="AM90" s="141">
        <v>19</v>
      </c>
      <c r="AN90" s="141">
        <v>19</v>
      </c>
      <c r="AO90" s="141">
        <v>8</v>
      </c>
      <c r="AP90" s="154">
        <v>3</v>
      </c>
      <c r="AQ90" s="9">
        <f t="shared" si="22"/>
        <v>17.097999999999999</v>
      </c>
      <c r="AR90" s="3">
        <v>12.33</v>
      </c>
      <c r="AS90" s="3">
        <v>17.66</v>
      </c>
      <c r="AT90" s="3">
        <v>17.66</v>
      </c>
      <c r="AU90" s="3">
        <v>19.66</v>
      </c>
      <c r="AV90" s="3">
        <v>14.67</v>
      </c>
      <c r="AW90" s="3">
        <v>16.670000000000002</v>
      </c>
      <c r="AX90" s="3">
        <v>12.66</v>
      </c>
      <c r="AY90" s="3">
        <v>19.78</v>
      </c>
      <c r="AZ90" s="3">
        <v>17.440000000000001</v>
      </c>
      <c r="BA90" s="3">
        <v>15.45</v>
      </c>
      <c r="BB90" s="3">
        <v>6</v>
      </c>
      <c r="BC90" s="20">
        <v>1</v>
      </c>
      <c r="BD90" s="117">
        <v>13.789999999999997</v>
      </c>
      <c r="BE90" s="3">
        <v>8.67</v>
      </c>
      <c r="BF90" s="3">
        <v>9.67</v>
      </c>
      <c r="BG90" s="3">
        <v>12.77</v>
      </c>
      <c r="BH90" s="3">
        <v>13.77</v>
      </c>
      <c r="BI90" s="3">
        <v>13.27</v>
      </c>
      <c r="BJ90" s="3">
        <v>13.139999999999999</v>
      </c>
      <c r="BK90" s="3">
        <v>17.13</v>
      </c>
      <c r="BL90" s="3">
        <v>10.94</v>
      </c>
      <c r="BM90" s="3">
        <v>10.94</v>
      </c>
      <c r="BN90" s="3">
        <v>16.27</v>
      </c>
      <c r="BO90" s="3">
        <v>7.33</v>
      </c>
      <c r="BP90" s="20">
        <v>4</v>
      </c>
      <c r="BQ90" s="65">
        <v>16.2</v>
      </c>
      <c r="BR90" s="3">
        <v>15.32</v>
      </c>
      <c r="BS90" s="3">
        <v>14.32</v>
      </c>
      <c r="BT90" s="3">
        <v>14.32</v>
      </c>
      <c r="BU90" s="3">
        <v>15.32</v>
      </c>
      <c r="BV90" s="3">
        <v>17.32</v>
      </c>
      <c r="BW90" s="3">
        <v>16.39</v>
      </c>
      <c r="BX90" s="3">
        <v>14.25</v>
      </c>
      <c r="BY90" s="3">
        <v>13.74</v>
      </c>
      <c r="BZ90" s="3">
        <v>16.739999999999998</v>
      </c>
      <c r="CA90" s="3">
        <v>14.72</v>
      </c>
      <c r="CB90" s="3">
        <v>4.9800000000000004</v>
      </c>
      <c r="CC90" s="3">
        <v>4.58</v>
      </c>
      <c r="CD90" s="16">
        <v>16.552</v>
      </c>
      <c r="CE90" s="3">
        <v>9</v>
      </c>
      <c r="CF90" s="3">
        <v>16</v>
      </c>
      <c r="CG90" s="3">
        <v>18</v>
      </c>
      <c r="CH90" s="3">
        <v>21</v>
      </c>
      <c r="CI90" s="3">
        <v>22</v>
      </c>
      <c r="CJ90" s="3">
        <v>19</v>
      </c>
      <c r="CK90" s="3">
        <v>19</v>
      </c>
      <c r="CL90" s="66">
        <v>14.25</v>
      </c>
      <c r="CM90" s="66">
        <v>15.44</v>
      </c>
      <c r="CN90" s="66">
        <v>9.5</v>
      </c>
      <c r="CO90" s="3">
        <v>1.33</v>
      </c>
      <c r="CP90" s="3">
        <v>1</v>
      </c>
      <c r="CQ90" s="20">
        <v>13.065000000000001</v>
      </c>
      <c r="CR90" s="3">
        <v>8.33</v>
      </c>
      <c r="CS90" s="3">
        <v>12.33</v>
      </c>
      <c r="CT90" s="3">
        <v>11.33</v>
      </c>
      <c r="CU90" s="3">
        <v>10.33</v>
      </c>
      <c r="CV90" s="3">
        <v>13</v>
      </c>
      <c r="CW90" s="3">
        <v>14</v>
      </c>
      <c r="CX90" s="3">
        <v>16</v>
      </c>
      <c r="CY90" s="3">
        <v>12</v>
      </c>
      <c r="CZ90" s="3">
        <v>13</v>
      </c>
      <c r="DA90" s="3">
        <v>8</v>
      </c>
      <c r="DB90" s="3">
        <v>7</v>
      </c>
      <c r="DC90" s="3">
        <v>5.33</v>
      </c>
      <c r="DD90" s="9">
        <v>13.266000000000002</v>
      </c>
      <c r="DE90" s="3">
        <v>9</v>
      </c>
      <c r="DF90" s="3">
        <v>16</v>
      </c>
      <c r="DG90" s="3">
        <v>14</v>
      </c>
      <c r="DH90" s="3">
        <v>10</v>
      </c>
      <c r="DI90" s="3">
        <v>9</v>
      </c>
      <c r="DJ90" s="3">
        <v>13</v>
      </c>
      <c r="DK90" s="3">
        <v>13</v>
      </c>
      <c r="DL90" s="3">
        <v>12</v>
      </c>
      <c r="DM90" s="3">
        <v>14</v>
      </c>
      <c r="DN90" s="3">
        <v>14</v>
      </c>
      <c r="DO90" s="3">
        <v>6.33</v>
      </c>
      <c r="DP90" s="3">
        <v>2.33</v>
      </c>
      <c r="DQ90" s="20">
        <v>18.331000000000003</v>
      </c>
      <c r="DR90" s="3">
        <v>11</v>
      </c>
      <c r="DS90" s="3">
        <v>12</v>
      </c>
      <c r="DT90" s="3">
        <v>12</v>
      </c>
      <c r="DU90" s="3">
        <v>10.67</v>
      </c>
      <c r="DV90" s="3">
        <v>16</v>
      </c>
      <c r="DW90" s="3">
        <v>21</v>
      </c>
      <c r="DX90" s="3">
        <v>23</v>
      </c>
      <c r="DY90" s="3">
        <v>21</v>
      </c>
      <c r="DZ90" s="3">
        <v>24</v>
      </c>
      <c r="EA90" s="3">
        <v>23.66</v>
      </c>
      <c r="EB90" s="3">
        <v>5.99</v>
      </c>
      <c r="EC90" s="3">
        <v>2.99</v>
      </c>
      <c r="ED90" s="16">
        <f t="shared" si="25"/>
        <v>13.183999999999997</v>
      </c>
      <c r="EE90" s="3">
        <v>0</v>
      </c>
      <c r="EF90" s="3">
        <v>15.65</v>
      </c>
      <c r="EG90" s="3">
        <v>13.66</v>
      </c>
      <c r="EH90" s="3">
        <v>10.729999999999999</v>
      </c>
      <c r="EI90" s="3">
        <v>14.53</v>
      </c>
      <c r="EJ90" s="3">
        <v>15.53</v>
      </c>
      <c r="EK90" s="3">
        <v>15.52</v>
      </c>
      <c r="EL90" s="3">
        <v>14.92</v>
      </c>
      <c r="EM90" s="3">
        <v>13.6</v>
      </c>
      <c r="EN90" s="3">
        <v>13.6</v>
      </c>
      <c r="EO90" s="3">
        <v>4.0999999999999996</v>
      </c>
      <c r="EP90" s="3">
        <v>0</v>
      </c>
      <c r="EQ90" s="3">
        <f t="shared" ref="EQ90:EQ123" si="26">+IFERROR((SUM(ER90:FC90)/10),0)</f>
        <v>2.2000000000000002</v>
      </c>
      <c r="ER90" s="3"/>
      <c r="ES90" s="3"/>
      <c r="ET90" s="3">
        <v>1</v>
      </c>
      <c r="EU90" s="3">
        <v>1</v>
      </c>
      <c r="EV90" s="3">
        <v>2</v>
      </c>
      <c r="EW90" s="3">
        <v>3</v>
      </c>
      <c r="EX90" s="3">
        <v>4</v>
      </c>
      <c r="EY90" s="3">
        <v>4</v>
      </c>
      <c r="EZ90" s="3">
        <v>4</v>
      </c>
      <c r="FA90" s="3">
        <v>3</v>
      </c>
      <c r="FB90" s="3">
        <v>0</v>
      </c>
      <c r="FC90" s="3">
        <v>0</v>
      </c>
      <c r="FD90" s="97"/>
      <c r="FE90" s="3"/>
      <c r="FF90" s="3"/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91"/>
      <c r="FR90" s="102"/>
      <c r="GA90" s="34"/>
    </row>
    <row r="91" spans="1:183" x14ac:dyDescent="0.25">
      <c r="A91" s="6" t="s">
        <v>353</v>
      </c>
      <c r="B91" s="25" t="s">
        <v>354</v>
      </c>
      <c r="C91" s="1" t="s">
        <v>352</v>
      </c>
      <c r="D91" s="141">
        <f t="shared" si="20"/>
        <v>0.5</v>
      </c>
      <c r="E91" s="141">
        <v>0</v>
      </c>
      <c r="F91" s="141">
        <v>1</v>
      </c>
      <c r="G91" s="141">
        <v>0</v>
      </c>
      <c r="H91" s="141">
        <v>1</v>
      </c>
      <c r="P91" s="77"/>
      <c r="Q91" s="159">
        <f t="shared" si="21"/>
        <v>2</v>
      </c>
      <c r="R91" s="141">
        <v>1</v>
      </c>
      <c r="S91" s="141">
        <v>1</v>
      </c>
      <c r="T91" s="141">
        <v>2</v>
      </c>
      <c r="U91" s="141">
        <v>2</v>
      </c>
      <c r="V91" s="141">
        <v>2</v>
      </c>
      <c r="W91" s="141">
        <v>2</v>
      </c>
      <c r="X91" s="141">
        <v>3</v>
      </c>
      <c r="Y91" s="141">
        <v>2</v>
      </c>
      <c r="Z91" s="141">
        <v>2</v>
      </c>
      <c r="AA91" s="141">
        <v>2</v>
      </c>
      <c r="AB91" s="141">
        <v>1</v>
      </c>
      <c r="AC91" s="154">
        <v>0</v>
      </c>
      <c r="AD91" s="159">
        <v>2.2999999999999998</v>
      </c>
      <c r="AE91" s="141">
        <v>2</v>
      </c>
      <c r="AF91" s="141">
        <v>3</v>
      </c>
      <c r="AG91" s="141">
        <v>3</v>
      </c>
      <c r="AH91" s="141">
        <v>3</v>
      </c>
      <c r="AI91" s="141">
        <v>2</v>
      </c>
      <c r="AJ91" s="141">
        <v>2</v>
      </c>
      <c r="AK91" s="141">
        <v>2</v>
      </c>
      <c r="AL91" s="141">
        <v>2</v>
      </c>
      <c r="AM91" s="141">
        <v>2</v>
      </c>
      <c r="AN91" s="141">
        <v>2</v>
      </c>
      <c r="AO91" s="141">
        <v>0</v>
      </c>
      <c r="AP91" s="154">
        <v>0</v>
      </c>
      <c r="AQ91" s="9">
        <f t="shared" si="22"/>
        <v>1.5</v>
      </c>
      <c r="AR91" s="3">
        <v>2</v>
      </c>
      <c r="AS91" s="3">
        <v>1</v>
      </c>
      <c r="AT91" s="3">
        <v>2</v>
      </c>
      <c r="AU91" s="3">
        <v>2</v>
      </c>
      <c r="AV91" s="3">
        <v>2</v>
      </c>
      <c r="AW91" s="3">
        <v>1</v>
      </c>
      <c r="AX91" s="3">
        <v>1</v>
      </c>
      <c r="AY91" s="3">
        <v>1</v>
      </c>
      <c r="AZ91" s="3">
        <v>0</v>
      </c>
      <c r="BA91" s="3">
        <v>2</v>
      </c>
      <c r="BB91" s="3">
        <v>1</v>
      </c>
      <c r="BC91" s="20">
        <v>0</v>
      </c>
      <c r="BD91" s="117">
        <v>2.8</v>
      </c>
      <c r="BE91" s="3">
        <v>2</v>
      </c>
      <c r="BF91" s="3">
        <v>2</v>
      </c>
      <c r="BG91" s="3">
        <v>2</v>
      </c>
      <c r="BH91" s="3">
        <v>2</v>
      </c>
      <c r="BI91" s="3">
        <v>3</v>
      </c>
      <c r="BJ91" s="3">
        <v>3</v>
      </c>
      <c r="BK91" s="3">
        <v>3</v>
      </c>
      <c r="BL91" s="3">
        <v>3</v>
      </c>
      <c r="BM91" s="3">
        <v>3</v>
      </c>
      <c r="BN91" s="3">
        <v>3</v>
      </c>
      <c r="BO91" s="3">
        <v>1</v>
      </c>
      <c r="BP91" s="20">
        <v>1</v>
      </c>
      <c r="BQ91" s="65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16">
        <v>0</v>
      </c>
      <c r="CE91" s="3"/>
      <c r="CF91" s="3"/>
      <c r="CG91" s="3"/>
      <c r="CH91" s="3"/>
      <c r="CI91" s="3"/>
      <c r="CL91" s="66">
        <v>0</v>
      </c>
      <c r="CM91" s="66">
        <v>0</v>
      </c>
      <c r="CN91" s="66">
        <v>0</v>
      </c>
      <c r="CO91" s="3">
        <v>0</v>
      </c>
      <c r="CP91" s="3">
        <v>0</v>
      </c>
      <c r="CQ91" s="90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89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90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91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87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97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91"/>
      <c r="FR91" s="102"/>
      <c r="GA91" s="34"/>
    </row>
    <row r="92" spans="1:183" x14ac:dyDescent="0.25">
      <c r="A92" s="6" t="s">
        <v>204</v>
      </c>
      <c r="B92" s="25" t="s">
        <v>215</v>
      </c>
      <c r="C92" s="1" t="s">
        <v>214</v>
      </c>
      <c r="D92" s="141">
        <f t="shared" ref="D92:D123" si="27">SUM(E92:P92)/$E$2</f>
        <v>12.82</v>
      </c>
      <c r="E92" s="141">
        <v>13.82</v>
      </c>
      <c r="F92" s="141">
        <v>13.82</v>
      </c>
      <c r="G92" s="141">
        <v>13.82</v>
      </c>
      <c r="H92" s="141">
        <v>9.82</v>
      </c>
      <c r="P92" s="77"/>
      <c r="Q92" s="159">
        <f t="shared" si="21"/>
        <v>20.8</v>
      </c>
      <c r="R92" s="141">
        <v>18</v>
      </c>
      <c r="S92" s="141">
        <v>19</v>
      </c>
      <c r="T92" s="141">
        <v>21</v>
      </c>
      <c r="U92" s="141">
        <v>18</v>
      </c>
      <c r="V92" s="141">
        <v>21</v>
      </c>
      <c r="W92" s="141">
        <v>24</v>
      </c>
      <c r="X92" s="141">
        <v>25</v>
      </c>
      <c r="Y92" s="141">
        <v>22</v>
      </c>
      <c r="Z92" s="141">
        <v>21</v>
      </c>
      <c r="AA92" s="141">
        <v>19</v>
      </c>
      <c r="AB92" s="141">
        <v>0</v>
      </c>
      <c r="AC92" s="154">
        <v>0</v>
      </c>
      <c r="AD92" s="159">
        <v>17</v>
      </c>
      <c r="AE92" s="141">
        <v>15</v>
      </c>
      <c r="AF92" s="141">
        <v>12</v>
      </c>
      <c r="AG92" s="141">
        <v>19</v>
      </c>
      <c r="AH92" s="141">
        <v>17</v>
      </c>
      <c r="AI92" s="141">
        <v>16</v>
      </c>
      <c r="AJ92" s="141">
        <v>19</v>
      </c>
      <c r="AK92" s="141">
        <v>20</v>
      </c>
      <c r="AL92" s="141">
        <v>17</v>
      </c>
      <c r="AM92" s="141">
        <v>18</v>
      </c>
      <c r="AN92" s="141">
        <v>17</v>
      </c>
      <c r="AO92" s="141">
        <v>0</v>
      </c>
      <c r="AP92" s="154">
        <v>0</v>
      </c>
      <c r="AQ92" s="9">
        <f t="shared" si="22"/>
        <v>10.7</v>
      </c>
      <c r="AR92" s="3">
        <v>8</v>
      </c>
      <c r="AS92" s="3">
        <v>10</v>
      </c>
      <c r="AT92" s="3">
        <v>10</v>
      </c>
      <c r="AU92" s="3">
        <v>10</v>
      </c>
      <c r="AV92" s="3">
        <v>8</v>
      </c>
      <c r="AW92" s="3">
        <v>15</v>
      </c>
      <c r="AX92" s="3">
        <v>13</v>
      </c>
      <c r="AY92" s="3">
        <v>15</v>
      </c>
      <c r="AZ92" s="3">
        <v>8</v>
      </c>
      <c r="BA92" s="3">
        <v>10</v>
      </c>
      <c r="BB92" s="3">
        <v>0</v>
      </c>
      <c r="BC92" s="20">
        <v>0</v>
      </c>
      <c r="BD92" s="117">
        <v>10.199999999999999</v>
      </c>
      <c r="BE92" s="3">
        <v>10</v>
      </c>
      <c r="BF92" s="3">
        <v>9</v>
      </c>
      <c r="BG92" s="3">
        <v>9</v>
      </c>
      <c r="BH92" s="3">
        <v>9</v>
      </c>
      <c r="BI92" s="3">
        <v>11</v>
      </c>
      <c r="BJ92" s="3">
        <v>12</v>
      </c>
      <c r="BK92" s="3">
        <v>10</v>
      </c>
      <c r="BL92" s="3">
        <v>10</v>
      </c>
      <c r="BM92" s="3">
        <v>10</v>
      </c>
      <c r="BN92" s="3">
        <v>12</v>
      </c>
      <c r="BO92" s="3">
        <v>0</v>
      </c>
      <c r="BP92" s="20">
        <v>0</v>
      </c>
      <c r="BQ92" s="65">
        <v>9.6999999999999993</v>
      </c>
      <c r="BR92" s="3">
        <v>6</v>
      </c>
      <c r="BS92" s="3">
        <v>9</v>
      </c>
      <c r="BT92" s="3">
        <v>9</v>
      </c>
      <c r="BU92" s="3">
        <v>9</v>
      </c>
      <c r="BV92" s="3">
        <v>12</v>
      </c>
      <c r="BW92" s="3">
        <v>10</v>
      </c>
      <c r="BX92" s="3">
        <v>11</v>
      </c>
      <c r="BY92" s="3">
        <v>8</v>
      </c>
      <c r="BZ92" s="3">
        <v>12</v>
      </c>
      <c r="CA92" s="3">
        <v>11</v>
      </c>
      <c r="CB92" s="3">
        <v>0</v>
      </c>
      <c r="CC92" s="3">
        <v>0</v>
      </c>
      <c r="CD92" s="16">
        <v>9.8189999999999991</v>
      </c>
      <c r="CE92" s="3">
        <v>12</v>
      </c>
      <c r="CF92" s="3">
        <v>14</v>
      </c>
      <c r="CG92" s="3">
        <v>14</v>
      </c>
      <c r="CH92" s="3">
        <v>11</v>
      </c>
      <c r="CI92" s="3">
        <v>7</v>
      </c>
      <c r="CJ92" s="3">
        <v>6</v>
      </c>
      <c r="CK92" s="3">
        <v>6</v>
      </c>
      <c r="CL92" s="66">
        <v>8.35</v>
      </c>
      <c r="CM92" s="66">
        <v>9.92</v>
      </c>
      <c r="CN92" s="66">
        <v>9.92</v>
      </c>
      <c r="CO92" s="3">
        <v>0</v>
      </c>
      <c r="CP92" s="3">
        <v>0</v>
      </c>
      <c r="CQ92" s="20">
        <v>7.7</v>
      </c>
      <c r="CR92" s="3">
        <v>4</v>
      </c>
      <c r="CS92" s="3">
        <v>4</v>
      </c>
      <c r="CT92" s="3">
        <v>5</v>
      </c>
      <c r="CU92" s="3">
        <v>5</v>
      </c>
      <c r="CV92" s="3">
        <v>7</v>
      </c>
      <c r="CW92" s="3">
        <v>7</v>
      </c>
      <c r="CX92" s="3">
        <v>8</v>
      </c>
      <c r="CY92" s="3">
        <v>11</v>
      </c>
      <c r="CZ92" s="3">
        <v>13</v>
      </c>
      <c r="DA92" s="3">
        <v>13</v>
      </c>
      <c r="DB92" s="3">
        <v>0</v>
      </c>
      <c r="DC92" s="3">
        <v>0</v>
      </c>
      <c r="DD92" s="9">
        <v>8.1</v>
      </c>
      <c r="DE92" s="3">
        <v>10</v>
      </c>
      <c r="DF92" s="3">
        <v>0</v>
      </c>
      <c r="DG92" s="3">
        <v>11</v>
      </c>
      <c r="DH92" s="3">
        <v>12</v>
      </c>
      <c r="DI92" s="3">
        <v>7</v>
      </c>
      <c r="DJ92" s="3">
        <v>10</v>
      </c>
      <c r="DK92" s="3">
        <v>11</v>
      </c>
      <c r="DL92" s="3">
        <v>8</v>
      </c>
      <c r="DM92" s="3">
        <v>7</v>
      </c>
      <c r="DN92" s="3">
        <v>5</v>
      </c>
      <c r="DO92" s="3">
        <v>0</v>
      </c>
      <c r="DP92" s="3">
        <v>0</v>
      </c>
      <c r="DQ92" s="20">
        <v>10.3</v>
      </c>
      <c r="DR92" s="3">
        <v>10</v>
      </c>
      <c r="DS92" s="3">
        <v>12</v>
      </c>
      <c r="DT92" s="3">
        <v>14</v>
      </c>
      <c r="DU92" s="3">
        <v>14</v>
      </c>
      <c r="DV92" s="3">
        <v>8</v>
      </c>
      <c r="DW92" s="3">
        <v>11</v>
      </c>
      <c r="DX92" s="3">
        <v>8</v>
      </c>
      <c r="DY92" s="3">
        <v>9</v>
      </c>
      <c r="DZ92" s="3">
        <v>8</v>
      </c>
      <c r="EA92" s="3">
        <v>9</v>
      </c>
      <c r="EB92" s="3">
        <v>0</v>
      </c>
      <c r="EC92" s="3">
        <v>0</v>
      </c>
      <c r="ED92" s="16">
        <f t="shared" si="25"/>
        <v>3</v>
      </c>
      <c r="EE92" s="3"/>
      <c r="EF92" s="3">
        <v>1</v>
      </c>
      <c r="EG92" s="3">
        <v>2</v>
      </c>
      <c r="EH92" s="3">
        <v>2</v>
      </c>
      <c r="EI92" s="3">
        <v>2</v>
      </c>
      <c r="EJ92" s="3">
        <v>4</v>
      </c>
      <c r="EK92" s="3">
        <v>4</v>
      </c>
      <c r="EL92" s="3">
        <v>5</v>
      </c>
      <c r="EM92" s="3">
        <v>5</v>
      </c>
      <c r="EN92" s="3">
        <v>5</v>
      </c>
      <c r="EO92" s="3">
        <v>0</v>
      </c>
      <c r="EP92" s="3">
        <v>0</v>
      </c>
      <c r="EQ92" s="87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97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91"/>
      <c r="FR92" s="102"/>
      <c r="GA92" s="34"/>
    </row>
    <row r="93" spans="1:183" x14ac:dyDescent="0.25">
      <c r="A93" s="6" t="s">
        <v>159</v>
      </c>
      <c r="B93" s="68" t="s">
        <v>17</v>
      </c>
      <c r="C93" s="1" t="s">
        <v>18</v>
      </c>
      <c r="D93" s="141">
        <f t="shared" si="27"/>
        <v>18</v>
      </c>
      <c r="E93" s="141">
        <v>12</v>
      </c>
      <c r="F93" s="141">
        <v>19</v>
      </c>
      <c r="G93" s="141">
        <v>21</v>
      </c>
      <c r="H93" s="141">
        <v>20</v>
      </c>
      <c r="P93" s="77"/>
      <c r="Q93" s="159">
        <f t="shared" si="21"/>
        <v>24.5</v>
      </c>
      <c r="R93" s="141">
        <v>14</v>
      </c>
      <c r="S93" s="141">
        <v>22</v>
      </c>
      <c r="T93" s="141">
        <v>26</v>
      </c>
      <c r="U93" s="141">
        <v>24</v>
      </c>
      <c r="V93" s="141">
        <v>21</v>
      </c>
      <c r="W93" s="141">
        <v>22</v>
      </c>
      <c r="X93" s="141">
        <v>27</v>
      </c>
      <c r="Y93" s="141">
        <v>27</v>
      </c>
      <c r="Z93" s="141">
        <v>24</v>
      </c>
      <c r="AA93" s="141">
        <v>20</v>
      </c>
      <c r="AB93" s="141">
        <v>12</v>
      </c>
      <c r="AC93" s="154">
        <v>6</v>
      </c>
      <c r="AD93" s="159">
        <v>17.7</v>
      </c>
      <c r="AE93" s="141">
        <v>5</v>
      </c>
      <c r="AF93" s="141">
        <v>8</v>
      </c>
      <c r="AG93" s="141">
        <v>17</v>
      </c>
      <c r="AH93" s="141">
        <v>18</v>
      </c>
      <c r="AI93" s="141">
        <v>15</v>
      </c>
      <c r="AJ93" s="141">
        <v>15</v>
      </c>
      <c r="AK93" s="141">
        <v>14</v>
      </c>
      <c r="AL93" s="141">
        <v>18</v>
      </c>
      <c r="AM93" s="141">
        <v>15</v>
      </c>
      <c r="AN93" s="141">
        <v>20</v>
      </c>
      <c r="AO93" s="141">
        <v>19</v>
      </c>
      <c r="AP93" s="154">
        <v>13</v>
      </c>
      <c r="AQ93" s="9">
        <f t="shared" si="22"/>
        <v>10.02</v>
      </c>
      <c r="AR93" s="3">
        <v>5</v>
      </c>
      <c r="AS93" s="3">
        <v>6</v>
      </c>
      <c r="AT93" s="3">
        <v>6</v>
      </c>
      <c r="AU93" s="3">
        <v>7.6</v>
      </c>
      <c r="AV93" s="3">
        <v>7.6</v>
      </c>
      <c r="AW93" s="3">
        <v>10</v>
      </c>
      <c r="AX93" s="3">
        <v>9</v>
      </c>
      <c r="AY93" s="3">
        <v>13</v>
      </c>
      <c r="AZ93" s="3">
        <v>12</v>
      </c>
      <c r="BA93" s="3">
        <v>11</v>
      </c>
      <c r="BB93" s="3">
        <v>8</v>
      </c>
      <c r="BC93" s="20">
        <v>5</v>
      </c>
      <c r="BD93" s="117">
        <v>14</v>
      </c>
      <c r="BE93" s="3">
        <v>12</v>
      </c>
      <c r="BF93" s="3">
        <v>7</v>
      </c>
      <c r="BG93" s="3">
        <v>14</v>
      </c>
      <c r="BH93" s="3">
        <v>17</v>
      </c>
      <c r="BI93" s="3">
        <v>10</v>
      </c>
      <c r="BJ93" s="3">
        <v>15</v>
      </c>
      <c r="BK93" s="3">
        <v>9</v>
      </c>
      <c r="BL93" s="3">
        <v>18</v>
      </c>
      <c r="BM93" s="3">
        <v>16</v>
      </c>
      <c r="BN93" s="3">
        <v>13</v>
      </c>
      <c r="BO93" s="3">
        <v>6</v>
      </c>
      <c r="BP93" s="20">
        <v>3</v>
      </c>
      <c r="BQ93" s="65">
        <v>11.9</v>
      </c>
      <c r="BR93" s="3">
        <v>5</v>
      </c>
      <c r="BS93" s="3">
        <v>9</v>
      </c>
      <c r="BT93" s="3">
        <v>9</v>
      </c>
      <c r="BU93" s="3">
        <v>10</v>
      </c>
      <c r="BV93" s="3">
        <v>10</v>
      </c>
      <c r="BW93" s="3">
        <v>12</v>
      </c>
      <c r="BX93" s="3">
        <v>16</v>
      </c>
      <c r="BY93" s="3">
        <v>14</v>
      </c>
      <c r="BZ93" s="3">
        <v>11</v>
      </c>
      <c r="CA93" s="3">
        <v>15</v>
      </c>
      <c r="CB93" s="3">
        <v>6</v>
      </c>
      <c r="CC93" s="3">
        <v>2</v>
      </c>
      <c r="CD93" s="16">
        <v>9.8650000000000002</v>
      </c>
      <c r="CE93" s="3">
        <v>7</v>
      </c>
      <c r="CF93" s="3">
        <v>9</v>
      </c>
      <c r="CG93" s="3">
        <v>10.53</v>
      </c>
      <c r="CH93" s="3">
        <v>12</v>
      </c>
      <c r="CI93" s="3">
        <v>9.1999999999999993</v>
      </c>
      <c r="CJ93" s="3">
        <v>7.2</v>
      </c>
      <c r="CK93" s="3">
        <v>7.2</v>
      </c>
      <c r="CL93" s="66">
        <v>10.130000000000001</v>
      </c>
      <c r="CM93" s="66">
        <v>13.51</v>
      </c>
      <c r="CN93" s="66">
        <v>7.88</v>
      </c>
      <c r="CO93" s="3">
        <v>1</v>
      </c>
      <c r="CP93" s="3">
        <v>4</v>
      </c>
      <c r="CQ93" s="20">
        <v>8.8000000000000007</v>
      </c>
      <c r="CR93" s="3">
        <v>4</v>
      </c>
      <c r="CS93" s="3">
        <v>8</v>
      </c>
      <c r="CT93" s="3">
        <v>8</v>
      </c>
      <c r="CU93" s="3">
        <v>6</v>
      </c>
      <c r="CV93" s="3">
        <v>6.2</v>
      </c>
      <c r="CW93" s="3">
        <v>6.4</v>
      </c>
      <c r="CX93" s="3">
        <v>6.4</v>
      </c>
      <c r="CY93" s="3">
        <v>9</v>
      </c>
      <c r="CZ93" s="3">
        <v>12</v>
      </c>
      <c r="DA93" s="3">
        <v>7</v>
      </c>
      <c r="DB93" s="3">
        <v>10</v>
      </c>
      <c r="DC93" s="3">
        <v>5</v>
      </c>
      <c r="DD93" s="9">
        <v>4.55</v>
      </c>
      <c r="DE93" s="3">
        <v>4</v>
      </c>
      <c r="DF93" s="3">
        <v>4</v>
      </c>
      <c r="DG93" s="3">
        <v>4</v>
      </c>
      <c r="DH93" s="3">
        <v>2</v>
      </c>
      <c r="DI93" s="3">
        <v>3</v>
      </c>
      <c r="DJ93" s="3">
        <v>4</v>
      </c>
      <c r="DK93" s="3">
        <v>4</v>
      </c>
      <c r="DL93" s="3">
        <v>5</v>
      </c>
      <c r="DM93" s="3">
        <v>2</v>
      </c>
      <c r="DN93" s="3">
        <v>6</v>
      </c>
      <c r="DO93" s="3">
        <v>5.5</v>
      </c>
      <c r="DP93" s="3">
        <v>2</v>
      </c>
      <c r="DQ93" s="20">
        <v>12.2</v>
      </c>
      <c r="DR93" s="3">
        <v>7</v>
      </c>
      <c r="DS93" s="3">
        <v>7</v>
      </c>
      <c r="DT93" s="3">
        <v>8</v>
      </c>
      <c r="DU93" s="3">
        <v>12</v>
      </c>
      <c r="DV93" s="3">
        <v>14</v>
      </c>
      <c r="DW93" s="3">
        <v>14.6</v>
      </c>
      <c r="DX93" s="3">
        <v>13.6</v>
      </c>
      <c r="DY93" s="3">
        <v>14.6</v>
      </c>
      <c r="DZ93" s="3">
        <v>8.6</v>
      </c>
      <c r="EA93" s="3">
        <v>12.6</v>
      </c>
      <c r="EB93" s="3">
        <v>5</v>
      </c>
      <c r="EC93" s="3">
        <v>5</v>
      </c>
      <c r="ED93" s="16">
        <f t="shared" si="25"/>
        <v>6.6599999999999993</v>
      </c>
      <c r="EE93" s="3">
        <v>7</v>
      </c>
      <c r="EF93" s="3">
        <v>6.6</v>
      </c>
      <c r="EG93" s="3">
        <v>10</v>
      </c>
      <c r="EH93" s="3">
        <v>9</v>
      </c>
      <c r="EI93" s="3">
        <v>5</v>
      </c>
      <c r="EJ93" s="3">
        <v>4</v>
      </c>
      <c r="EK93" s="3">
        <v>6</v>
      </c>
      <c r="EL93" s="3">
        <v>5</v>
      </c>
      <c r="EM93" s="3">
        <v>5</v>
      </c>
      <c r="EN93" s="3">
        <v>3</v>
      </c>
      <c r="EO93" s="3">
        <v>6</v>
      </c>
      <c r="EP93" s="3">
        <v>0</v>
      </c>
      <c r="EQ93" s="3">
        <f t="shared" si="26"/>
        <v>10.76</v>
      </c>
      <c r="ER93" s="3">
        <v>6.6</v>
      </c>
      <c r="ES93" s="3">
        <v>7.6</v>
      </c>
      <c r="ET93" s="3">
        <v>11.6</v>
      </c>
      <c r="EU93" s="3">
        <v>9.1999999999999993</v>
      </c>
      <c r="EV93" s="3">
        <v>10.6</v>
      </c>
      <c r="EW93" s="3">
        <v>11</v>
      </c>
      <c r="EX93" s="3">
        <v>13</v>
      </c>
      <c r="EY93" s="3">
        <v>11</v>
      </c>
      <c r="EZ93" s="3">
        <v>8</v>
      </c>
      <c r="FA93" s="3">
        <v>8</v>
      </c>
      <c r="FB93" s="3">
        <v>6</v>
      </c>
      <c r="FC93" s="3">
        <v>5</v>
      </c>
      <c r="FD93" s="69">
        <f t="shared" si="9"/>
        <v>11.04</v>
      </c>
      <c r="FE93" s="3">
        <v>5</v>
      </c>
      <c r="FF93" s="3">
        <v>7</v>
      </c>
      <c r="FG93" s="3">
        <v>9</v>
      </c>
      <c r="FH93" s="3">
        <v>8</v>
      </c>
      <c r="FI93" s="3">
        <v>11.6</v>
      </c>
      <c r="FJ93" s="3">
        <v>10.6</v>
      </c>
      <c r="FK93" s="3">
        <v>12.6</v>
      </c>
      <c r="FL93" s="3">
        <v>12.2</v>
      </c>
      <c r="FM93" s="3">
        <v>14.2</v>
      </c>
      <c r="FN93" s="3">
        <v>11.6</v>
      </c>
      <c r="FO93" s="3">
        <v>6.6</v>
      </c>
      <c r="FP93" s="3">
        <v>2</v>
      </c>
      <c r="FQ93" s="16">
        <v>5</v>
      </c>
      <c r="FR93" s="102"/>
      <c r="GA93" s="34"/>
    </row>
    <row r="94" spans="1:183" x14ac:dyDescent="0.25">
      <c r="A94" s="6" t="s">
        <v>129</v>
      </c>
      <c r="B94" s="25" t="s">
        <v>130</v>
      </c>
      <c r="C94" s="1" t="s">
        <v>128</v>
      </c>
      <c r="D94" s="141">
        <f t="shared" si="27"/>
        <v>0.75</v>
      </c>
      <c r="E94" s="141">
        <v>0</v>
      </c>
      <c r="F94" s="141">
        <v>1</v>
      </c>
      <c r="G94" s="141">
        <v>1</v>
      </c>
      <c r="H94" s="141">
        <v>1</v>
      </c>
      <c r="P94" s="77"/>
      <c r="Q94" s="159">
        <f t="shared" si="21"/>
        <v>0.7</v>
      </c>
      <c r="R94" s="141">
        <v>1</v>
      </c>
      <c r="S94" s="141">
        <v>1</v>
      </c>
      <c r="T94" s="141">
        <v>1</v>
      </c>
      <c r="U94" s="141">
        <v>0</v>
      </c>
      <c r="V94" s="141">
        <v>0</v>
      </c>
      <c r="W94" s="141">
        <v>1</v>
      </c>
      <c r="X94" s="141">
        <v>1</v>
      </c>
      <c r="Y94" s="141">
        <v>1</v>
      </c>
      <c r="Z94" s="141">
        <v>1</v>
      </c>
      <c r="AA94" s="141">
        <v>0</v>
      </c>
      <c r="AB94" s="141">
        <v>0</v>
      </c>
      <c r="AC94" s="154">
        <v>0</v>
      </c>
      <c r="AD94" s="159">
        <v>0.6</v>
      </c>
      <c r="AE94" s="141">
        <v>0</v>
      </c>
      <c r="AF94" s="141">
        <v>1</v>
      </c>
      <c r="AG94" s="141">
        <v>1</v>
      </c>
      <c r="AH94" s="141">
        <v>1</v>
      </c>
      <c r="AI94" s="141">
        <v>0</v>
      </c>
      <c r="AJ94" s="141">
        <v>0</v>
      </c>
      <c r="AK94" s="141">
        <v>0</v>
      </c>
      <c r="AL94" s="141">
        <v>1</v>
      </c>
      <c r="AM94" s="141">
        <v>1</v>
      </c>
      <c r="AN94" s="141">
        <v>1</v>
      </c>
      <c r="AO94" s="141">
        <v>0</v>
      </c>
      <c r="AP94" s="154">
        <v>0</v>
      </c>
      <c r="AQ94" s="9">
        <f t="shared" si="22"/>
        <v>0.5</v>
      </c>
      <c r="AR94" s="3">
        <v>1</v>
      </c>
      <c r="AS94" s="3">
        <v>1</v>
      </c>
      <c r="AT94" s="3">
        <v>1</v>
      </c>
      <c r="AU94" s="3">
        <v>0</v>
      </c>
      <c r="AV94" s="3">
        <v>0</v>
      </c>
      <c r="AW94" s="3">
        <v>0</v>
      </c>
      <c r="AX94" s="3">
        <v>0</v>
      </c>
      <c r="AY94" s="3">
        <v>1</v>
      </c>
      <c r="AZ94" s="3">
        <v>0</v>
      </c>
      <c r="BA94" s="3">
        <v>1</v>
      </c>
      <c r="BB94" s="3">
        <v>0</v>
      </c>
      <c r="BC94" s="20">
        <v>0</v>
      </c>
      <c r="BD94" s="117">
        <v>1</v>
      </c>
      <c r="BE94" s="3">
        <v>1</v>
      </c>
      <c r="BF94" s="3">
        <v>1</v>
      </c>
      <c r="BG94" s="3">
        <v>1</v>
      </c>
      <c r="BH94" s="3">
        <v>1</v>
      </c>
      <c r="BI94" s="3">
        <v>1</v>
      </c>
      <c r="BJ94" s="3">
        <v>1</v>
      </c>
      <c r="BK94" s="3">
        <v>1</v>
      </c>
      <c r="BL94" s="3">
        <v>1</v>
      </c>
      <c r="BM94" s="3">
        <v>1</v>
      </c>
      <c r="BN94" s="3">
        <v>1</v>
      </c>
      <c r="BO94" s="3">
        <v>0</v>
      </c>
      <c r="BP94" s="20">
        <v>0</v>
      </c>
      <c r="BQ94" s="65">
        <v>2.9</v>
      </c>
      <c r="BR94" s="3">
        <v>3</v>
      </c>
      <c r="BS94" s="3">
        <v>3</v>
      </c>
      <c r="BT94" s="3">
        <v>3</v>
      </c>
      <c r="BU94" s="3">
        <v>3</v>
      </c>
      <c r="BV94" s="3">
        <v>3</v>
      </c>
      <c r="BW94" s="3">
        <v>4</v>
      </c>
      <c r="BX94" s="3">
        <v>3</v>
      </c>
      <c r="BY94" s="3">
        <v>3</v>
      </c>
      <c r="BZ94" s="3">
        <v>2</v>
      </c>
      <c r="CA94" s="3">
        <v>2</v>
      </c>
      <c r="CB94" s="3">
        <v>0</v>
      </c>
      <c r="CC94" s="3">
        <v>0</v>
      </c>
      <c r="CD94" s="16">
        <v>0.95199999999999996</v>
      </c>
      <c r="CE94" s="3">
        <v>0</v>
      </c>
      <c r="CF94" s="3">
        <v>1</v>
      </c>
      <c r="CG94" s="3">
        <v>1</v>
      </c>
      <c r="CH94" s="3">
        <v>1</v>
      </c>
      <c r="CI94" s="3">
        <v>1</v>
      </c>
      <c r="CJ94" s="3">
        <v>1</v>
      </c>
      <c r="CK94" s="3">
        <v>1</v>
      </c>
      <c r="CL94" s="66">
        <v>1.08</v>
      </c>
      <c r="CM94" s="66">
        <v>1.08</v>
      </c>
      <c r="CN94" s="66">
        <v>0.36</v>
      </c>
      <c r="CO94" s="3">
        <v>1</v>
      </c>
      <c r="CP94" s="3">
        <v>0</v>
      </c>
      <c r="CQ94" s="20">
        <v>2.5</v>
      </c>
      <c r="CR94" s="3">
        <v>0</v>
      </c>
      <c r="CS94" s="3">
        <v>3</v>
      </c>
      <c r="CT94" s="3">
        <v>3</v>
      </c>
      <c r="CU94" s="3">
        <v>4</v>
      </c>
      <c r="CV94" s="3">
        <v>4</v>
      </c>
      <c r="CW94" s="3">
        <v>4</v>
      </c>
      <c r="CX94" s="3">
        <v>0</v>
      </c>
      <c r="CY94" s="3">
        <v>3</v>
      </c>
      <c r="CZ94" s="3">
        <v>3</v>
      </c>
      <c r="DA94" s="3">
        <v>1</v>
      </c>
      <c r="DB94" s="3">
        <v>0</v>
      </c>
      <c r="DC94" s="3">
        <v>0</v>
      </c>
      <c r="DD94" s="9">
        <v>0.1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1</v>
      </c>
      <c r="DP94" s="3">
        <v>0</v>
      </c>
      <c r="DQ94" s="20">
        <v>0.9</v>
      </c>
      <c r="DR94" s="3">
        <v>1</v>
      </c>
      <c r="DS94" s="3">
        <v>1</v>
      </c>
      <c r="DT94" s="3">
        <v>1</v>
      </c>
      <c r="DU94" s="3">
        <v>1</v>
      </c>
      <c r="DV94" s="3">
        <v>1</v>
      </c>
      <c r="DW94" s="3">
        <v>1</v>
      </c>
      <c r="DX94" s="3">
        <v>1</v>
      </c>
      <c r="DY94" s="3">
        <v>1</v>
      </c>
      <c r="DZ94" s="3">
        <v>1</v>
      </c>
      <c r="EA94" s="3">
        <v>0</v>
      </c>
      <c r="EB94" s="3">
        <v>0</v>
      </c>
      <c r="EC94" s="3">
        <v>0</v>
      </c>
      <c r="ED94" s="16">
        <f t="shared" si="25"/>
        <v>0.8</v>
      </c>
      <c r="EE94" s="3">
        <v>0</v>
      </c>
      <c r="EF94" s="3">
        <v>0</v>
      </c>
      <c r="EG94" s="3">
        <v>1</v>
      </c>
      <c r="EH94" s="3">
        <v>1</v>
      </c>
      <c r="EI94" s="3">
        <v>0</v>
      </c>
      <c r="EJ94" s="3">
        <v>1</v>
      </c>
      <c r="EK94" s="3">
        <v>1</v>
      </c>
      <c r="EL94" s="3">
        <v>1</v>
      </c>
      <c r="EM94" s="3">
        <v>1</v>
      </c>
      <c r="EN94" s="3">
        <v>1</v>
      </c>
      <c r="EO94" s="3">
        <v>1</v>
      </c>
      <c r="EP94" s="3">
        <v>0</v>
      </c>
      <c r="EQ94" s="3">
        <f t="shared" si="26"/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69">
        <f t="shared" si="9"/>
        <v>0.1</v>
      </c>
      <c r="FE94" s="3"/>
      <c r="FF94" s="3"/>
      <c r="FG94" s="3"/>
      <c r="FH94" s="3"/>
      <c r="FI94" s="3"/>
      <c r="FJ94" s="3"/>
      <c r="FK94" s="3"/>
      <c r="FL94" s="3"/>
      <c r="FM94" s="3">
        <v>1</v>
      </c>
      <c r="FN94" s="3">
        <v>0</v>
      </c>
      <c r="FO94" s="3">
        <v>0</v>
      </c>
      <c r="FP94" s="3">
        <v>0</v>
      </c>
      <c r="FQ94" s="102"/>
      <c r="FR94" s="102"/>
      <c r="GA94" s="34"/>
    </row>
    <row r="95" spans="1:183" x14ac:dyDescent="0.25">
      <c r="A95" s="6" t="s">
        <v>87</v>
      </c>
      <c r="B95" s="68" t="s">
        <v>56</v>
      </c>
      <c r="C95" s="1" t="s">
        <v>64</v>
      </c>
      <c r="D95" s="141">
        <f t="shared" si="27"/>
        <v>54.75</v>
      </c>
      <c r="E95" s="141">
        <v>53</v>
      </c>
      <c r="F95" s="141">
        <v>50</v>
      </c>
      <c r="G95" s="141">
        <v>62</v>
      </c>
      <c r="H95" s="141">
        <v>54</v>
      </c>
      <c r="P95" s="77"/>
      <c r="Q95" s="159">
        <f t="shared" si="21"/>
        <v>64.513999999999996</v>
      </c>
      <c r="R95" s="141">
        <v>46</v>
      </c>
      <c r="S95" s="141">
        <v>53.4</v>
      </c>
      <c r="T95" s="141">
        <v>60.27</v>
      </c>
      <c r="U95" s="141">
        <v>60.27</v>
      </c>
      <c r="V95" s="141">
        <v>60.4</v>
      </c>
      <c r="W95" s="141">
        <v>73.400000000000006</v>
      </c>
      <c r="X95" s="141">
        <v>60.4</v>
      </c>
      <c r="Y95" s="141">
        <v>68</v>
      </c>
      <c r="Z95" s="141">
        <v>66</v>
      </c>
      <c r="AA95" s="141">
        <v>65</v>
      </c>
      <c r="AB95" s="141">
        <v>32</v>
      </c>
      <c r="AC95" s="154">
        <v>0</v>
      </c>
      <c r="AD95" s="159">
        <v>69.730999999999995</v>
      </c>
      <c r="AE95" s="141">
        <v>64</v>
      </c>
      <c r="AF95" s="141">
        <v>67</v>
      </c>
      <c r="AG95" s="141">
        <v>76</v>
      </c>
      <c r="AH95" s="141">
        <v>72</v>
      </c>
      <c r="AI95" s="141">
        <v>56.46</v>
      </c>
      <c r="AJ95" s="141">
        <v>70.459999999999994</v>
      </c>
      <c r="AK95" s="141">
        <v>55.93</v>
      </c>
      <c r="AL95" s="141">
        <v>64.930000000000007</v>
      </c>
      <c r="AM95" s="141">
        <v>62.5</v>
      </c>
      <c r="AN95" s="141">
        <v>76.23</v>
      </c>
      <c r="AO95" s="141">
        <v>31.8</v>
      </c>
      <c r="AP95" s="154">
        <v>0</v>
      </c>
      <c r="AQ95" s="9">
        <f t="shared" si="22"/>
        <v>73.795000000000002</v>
      </c>
      <c r="AR95" s="3">
        <v>49</v>
      </c>
      <c r="AS95" s="3">
        <v>73.2</v>
      </c>
      <c r="AT95" s="3">
        <v>82.87</v>
      </c>
      <c r="AU95" s="3">
        <v>70.87</v>
      </c>
      <c r="AV95" s="3">
        <v>62.67</v>
      </c>
      <c r="AW95" s="3">
        <v>74.67</v>
      </c>
      <c r="AX95" s="3">
        <v>73.67</v>
      </c>
      <c r="AY95" s="3">
        <v>74</v>
      </c>
      <c r="AZ95" s="3">
        <v>75</v>
      </c>
      <c r="BA95" s="3">
        <v>74</v>
      </c>
      <c r="BB95" s="3">
        <v>28</v>
      </c>
      <c r="BC95" s="20">
        <v>0</v>
      </c>
      <c r="BD95" s="117">
        <v>104.33900000000001</v>
      </c>
      <c r="BE95" s="3">
        <v>84</v>
      </c>
      <c r="BF95" s="3">
        <v>116.2</v>
      </c>
      <c r="BG95" s="3">
        <v>128.19999999999999</v>
      </c>
      <c r="BH95" s="3">
        <v>112.2</v>
      </c>
      <c r="BI95" s="3">
        <v>76.2</v>
      </c>
      <c r="BJ95" s="3">
        <v>92.2</v>
      </c>
      <c r="BK95" s="3">
        <v>94.2</v>
      </c>
      <c r="BL95" s="3">
        <v>101.73</v>
      </c>
      <c r="BM95" s="3">
        <v>98.73</v>
      </c>
      <c r="BN95" s="3">
        <v>102.73</v>
      </c>
      <c r="BO95" s="3">
        <v>37</v>
      </c>
      <c r="BP95" s="20">
        <v>0</v>
      </c>
      <c r="BQ95" s="65">
        <v>96.9</v>
      </c>
      <c r="BR95" s="3">
        <v>113</v>
      </c>
      <c r="BS95" s="3">
        <v>87</v>
      </c>
      <c r="BT95" s="3">
        <v>72</v>
      </c>
      <c r="BU95" s="3">
        <v>93</v>
      </c>
      <c r="BV95" s="3">
        <v>113</v>
      </c>
      <c r="BW95" s="3">
        <v>101</v>
      </c>
      <c r="BX95" s="3">
        <v>115</v>
      </c>
      <c r="BY95" s="3">
        <v>92</v>
      </c>
      <c r="BZ95" s="3">
        <v>78</v>
      </c>
      <c r="CA95" s="3">
        <v>73</v>
      </c>
      <c r="CB95" s="3">
        <v>19</v>
      </c>
      <c r="CC95" s="3">
        <v>13</v>
      </c>
      <c r="CD95" s="16">
        <v>162.44800000000001</v>
      </c>
      <c r="CE95" s="3">
        <v>127</v>
      </c>
      <c r="CF95" s="3">
        <v>158</v>
      </c>
      <c r="CG95" s="3">
        <v>176</v>
      </c>
      <c r="CH95" s="3">
        <v>156</v>
      </c>
      <c r="CI95" s="3">
        <v>155</v>
      </c>
      <c r="CJ95" s="3">
        <v>165</v>
      </c>
      <c r="CK95" s="3">
        <v>156</v>
      </c>
      <c r="CL95" s="66">
        <v>163.85</v>
      </c>
      <c r="CM95" s="66">
        <v>162.69999999999999</v>
      </c>
      <c r="CN95" s="66">
        <v>156.93</v>
      </c>
      <c r="CO95" s="3">
        <v>41</v>
      </c>
      <c r="CP95" s="3">
        <v>7</v>
      </c>
      <c r="CQ95" s="20">
        <v>128</v>
      </c>
      <c r="CR95" s="3">
        <v>61</v>
      </c>
      <c r="CS95" s="3">
        <v>105</v>
      </c>
      <c r="CT95" s="3">
        <v>126</v>
      </c>
      <c r="CU95" s="3">
        <v>123</v>
      </c>
      <c r="CV95" s="3">
        <v>123</v>
      </c>
      <c r="CW95" s="3">
        <v>143</v>
      </c>
      <c r="CX95" s="3">
        <v>143</v>
      </c>
      <c r="CY95" s="3">
        <v>142</v>
      </c>
      <c r="CZ95" s="3">
        <v>141</v>
      </c>
      <c r="DA95" s="3">
        <v>136</v>
      </c>
      <c r="DB95" s="3">
        <v>35</v>
      </c>
      <c r="DC95" s="3">
        <v>2</v>
      </c>
      <c r="DD95" s="9">
        <v>99.8</v>
      </c>
      <c r="DE95" s="3">
        <v>65</v>
      </c>
      <c r="DF95" s="3">
        <v>85</v>
      </c>
      <c r="DG95" s="3">
        <v>91</v>
      </c>
      <c r="DH95" s="3">
        <v>92</v>
      </c>
      <c r="DI95" s="3">
        <v>90</v>
      </c>
      <c r="DJ95" s="3">
        <v>108</v>
      </c>
      <c r="DK95" s="3">
        <v>95</v>
      </c>
      <c r="DL95" s="3">
        <v>107</v>
      </c>
      <c r="DM95" s="3">
        <v>94</v>
      </c>
      <c r="DN95" s="3">
        <v>101</v>
      </c>
      <c r="DO95" s="3">
        <v>47</v>
      </c>
      <c r="DP95" s="3">
        <v>23</v>
      </c>
      <c r="DQ95" s="20">
        <v>87.2</v>
      </c>
      <c r="DR95" s="3">
        <v>69</v>
      </c>
      <c r="DS95" s="3">
        <v>74</v>
      </c>
      <c r="DT95" s="3">
        <v>73</v>
      </c>
      <c r="DU95" s="3">
        <v>92</v>
      </c>
      <c r="DV95" s="3">
        <v>79</v>
      </c>
      <c r="DW95" s="3">
        <v>78</v>
      </c>
      <c r="DX95" s="3">
        <v>94</v>
      </c>
      <c r="DY95" s="3">
        <v>88</v>
      </c>
      <c r="DZ95" s="3">
        <v>81</v>
      </c>
      <c r="EA95" s="3">
        <v>83</v>
      </c>
      <c r="EB95" s="3">
        <v>45</v>
      </c>
      <c r="EC95" s="3">
        <v>16</v>
      </c>
      <c r="ED95" s="16">
        <f t="shared" si="25"/>
        <v>75.900000000000006</v>
      </c>
      <c r="EE95" s="3">
        <v>31</v>
      </c>
      <c r="EF95" s="3">
        <v>53</v>
      </c>
      <c r="EG95" s="3">
        <v>61</v>
      </c>
      <c r="EH95" s="3">
        <v>70</v>
      </c>
      <c r="EI95" s="3">
        <v>74</v>
      </c>
      <c r="EJ95" s="3">
        <v>91</v>
      </c>
      <c r="EK95" s="3">
        <v>97</v>
      </c>
      <c r="EL95" s="3">
        <v>88</v>
      </c>
      <c r="EM95" s="3">
        <v>68</v>
      </c>
      <c r="EN95" s="3">
        <v>73</v>
      </c>
      <c r="EO95" s="3">
        <v>37</v>
      </c>
      <c r="EP95" s="3">
        <v>16</v>
      </c>
      <c r="EQ95" s="3">
        <f t="shared" si="26"/>
        <v>59.954999999999998</v>
      </c>
      <c r="ER95" s="3">
        <v>32</v>
      </c>
      <c r="ES95" s="3">
        <v>43</v>
      </c>
      <c r="ET95" s="3">
        <v>53</v>
      </c>
      <c r="EU95" s="3">
        <v>49</v>
      </c>
      <c r="EV95" s="3">
        <v>55</v>
      </c>
      <c r="EW95" s="3">
        <v>71</v>
      </c>
      <c r="EX95" s="3">
        <v>64</v>
      </c>
      <c r="EY95" s="3">
        <v>62</v>
      </c>
      <c r="EZ95" s="3">
        <v>62</v>
      </c>
      <c r="FA95" s="3">
        <v>56</v>
      </c>
      <c r="FB95" s="3">
        <v>30.55</v>
      </c>
      <c r="FC95" s="3">
        <v>22</v>
      </c>
      <c r="FD95" s="69">
        <f t="shared" si="9"/>
        <v>37.6</v>
      </c>
      <c r="FE95" s="3">
        <v>0</v>
      </c>
      <c r="FF95" s="3">
        <v>0</v>
      </c>
      <c r="FG95" s="3">
        <v>40</v>
      </c>
      <c r="FH95" s="3">
        <v>45</v>
      </c>
      <c r="FI95" s="3">
        <v>43</v>
      </c>
      <c r="FJ95" s="3">
        <v>43</v>
      </c>
      <c r="FK95" s="3">
        <v>41</v>
      </c>
      <c r="FL95" s="3">
        <v>50</v>
      </c>
      <c r="FM95" s="3">
        <v>46</v>
      </c>
      <c r="FN95" s="3">
        <v>44</v>
      </c>
      <c r="FO95" s="3">
        <v>24</v>
      </c>
      <c r="FP95" s="3">
        <v>0</v>
      </c>
      <c r="FQ95" s="102"/>
      <c r="FR95" s="102"/>
      <c r="GA95" s="34"/>
    </row>
    <row r="96" spans="1:183" x14ac:dyDescent="0.25">
      <c r="A96" s="6"/>
      <c r="B96" s="25" t="s">
        <v>364</v>
      </c>
      <c r="C96" s="1" t="s">
        <v>365</v>
      </c>
      <c r="D96" s="141">
        <f t="shared" si="27"/>
        <v>0</v>
      </c>
      <c r="E96" s="141">
        <v>0</v>
      </c>
      <c r="F96" s="141">
        <v>0</v>
      </c>
      <c r="G96" s="141">
        <v>0</v>
      </c>
      <c r="H96" s="141">
        <v>0</v>
      </c>
      <c r="P96" s="77"/>
      <c r="Q96" s="159">
        <f t="shared" si="21"/>
        <v>0</v>
      </c>
      <c r="R96" s="141">
        <v>0</v>
      </c>
      <c r="S96" s="141">
        <v>0</v>
      </c>
      <c r="T96" s="141">
        <v>0</v>
      </c>
      <c r="U96" s="141">
        <v>0</v>
      </c>
      <c r="V96" s="141">
        <v>0</v>
      </c>
      <c r="W96" s="141">
        <v>0</v>
      </c>
      <c r="X96" s="141">
        <v>0</v>
      </c>
      <c r="Y96" s="141">
        <v>0</v>
      </c>
      <c r="Z96" s="141">
        <v>0</v>
      </c>
      <c r="AA96" s="141">
        <v>0</v>
      </c>
      <c r="AB96" s="141">
        <v>0</v>
      </c>
      <c r="AC96" s="154">
        <v>0</v>
      </c>
      <c r="AD96" s="159">
        <v>0</v>
      </c>
      <c r="AE96" s="141">
        <v>0</v>
      </c>
      <c r="AF96" s="141">
        <v>0</v>
      </c>
      <c r="AG96" s="141">
        <v>0</v>
      </c>
      <c r="AH96" s="141">
        <v>0</v>
      </c>
      <c r="AI96" s="141">
        <v>0</v>
      </c>
      <c r="AJ96" s="141">
        <v>0</v>
      </c>
      <c r="AK96" s="141">
        <v>0</v>
      </c>
      <c r="AL96" s="141">
        <v>0</v>
      </c>
      <c r="AM96" s="141">
        <v>0</v>
      </c>
      <c r="AN96" s="141">
        <v>0</v>
      </c>
      <c r="AO96" s="141">
        <v>0</v>
      </c>
      <c r="AP96" s="154">
        <v>0</v>
      </c>
      <c r="AQ96" s="9">
        <f t="shared" si="22"/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20">
        <v>0</v>
      </c>
      <c r="BD96" s="117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20">
        <v>0</v>
      </c>
      <c r="BQ96" s="65">
        <v>0.3</v>
      </c>
      <c r="BR96" s="3">
        <v>0</v>
      </c>
      <c r="BS96" s="3">
        <v>0</v>
      </c>
      <c r="BT96" s="3">
        <v>1</v>
      </c>
      <c r="BU96" s="3">
        <v>1</v>
      </c>
      <c r="BV96" s="3">
        <v>1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91"/>
      <c r="CE96" s="3"/>
      <c r="CF96" s="3"/>
      <c r="CG96" s="3"/>
      <c r="CH96" s="3"/>
      <c r="CI96" s="3"/>
      <c r="CJ96" s="3"/>
      <c r="CK96" s="3"/>
      <c r="CL96" s="66"/>
      <c r="CM96" s="66"/>
      <c r="CN96" s="66"/>
      <c r="CO96" s="3"/>
      <c r="CP96" s="3"/>
      <c r="CQ96" s="90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89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90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91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87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97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102"/>
      <c r="FR96" s="102"/>
      <c r="GA96" s="34"/>
    </row>
    <row r="97" spans="1:183" x14ac:dyDescent="0.25">
      <c r="A97" s="6" t="s">
        <v>353</v>
      </c>
      <c r="B97" s="25" t="s">
        <v>359</v>
      </c>
      <c r="C97" s="1" t="s">
        <v>360</v>
      </c>
      <c r="D97" s="141">
        <f t="shared" si="27"/>
        <v>6</v>
      </c>
      <c r="E97" s="141">
        <v>2</v>
      </c>
      <c r="F97" s="141">
        <v>7</v>
      </c>
      <c r="G97" s="141">
        <v>8</v>
      </c>
      <c r="H97" s="141">
        <v>7</v>
      </c>
      <c r="P97" s="77"/>
      <c r="Q97" s="159">
        <f t="shared" si="21"/>
        <v>13.7</v>
      </c>
      <c r="R97" s="141">
        <v>7</v>
      </c>
      <c r="S97" s="141">
        <v>13</v>
      </c>
      <c r="T97" s="141">
        <v>12</v>
      </c>
      <c r="U97" s="141">
        <v>15</v>
      </c>
      <c r="V97" s="141">
        <v>15</v>
      </c>
      <c r="W97" s="141">
        <v>14</v>
      </c>
      <c r="X97" s="141">
        <v>16</v>
      </c>
      <c r="Y97" s="141">
        <v>16</v>
      </c>
      <c r="Z97" s="141">
        <v>14</v>
      </c>
      <c r="AA97" s="141">
        <v>15</v>
      </c>
      <c r="AB97" s="141">
        <v>0</v>
      </c>
      <c r="AC97" s="154">
        <v>0</v>
      </c>
      <c r="AD97" s="159">
        <v>13.2</v>
      </c>
      <c r="AE97" s="141">
        <v>3</v>
      </c>
      <c r="AF97" s="141">
        <v>3</v>
      </c>
      <c r="AG97" s="141">
        <v>15</v>
      </c>
      <c r="AH97" s="141">
        <v>16</v>
      </c>
      <c r="AI97" s="141">
        <v>16</v>
      </c>
      <c r="AJ97" s="141">
        <v>15</v>
      </c>
      <c r="AK97" s="141">
        <v>16</v>
      </c>
      <c r="AL97" s="141">
        <v>16</v>
      </c>
      <c r="AM97" s="141">
        <v>16</v>
      </c>
      <c r="AN97" s="141">
        <v>16</v>
      </c>
      <c r="AO97" s="141">
        <v>0</v>
      </c>
      <c r="AP97" s="154">
        <v>0</v>
      </c>
      <c r="AQ97" s="9">
        <f t="shared" si="22"/>
        <v>10.8</v>
      </c>
      <c r="AR97" s="3">
        <v>5</v>
      </c>
      <c r="AS97" s="3">
        <v>8</v>
      </c>
      <c r="AT97" s="3">
        <v>10</v>
      </c>
      <c r="AU97" s="3">
        <v>10</v>
      </c>
      <c r="AV97" s="3">
        <v>9</v>
      </c>
      <c r="AW97" s="3">
        <v>12</v>
      </c>
      <c r="AX97" s="3">
        <v>12</v>
      </c>
      <c r="AY97" s="3">
        <v>14</v>
      </c>
      <c r="AZ97" s="3">
        <v>14</v>
      </c>
      <c r="BA97" s="3">
        <v>14</v>
      </c>
      <c r="BB97" s="3">
        <v>0</v>
      </c>
      <c r="BC97" s="20">
        <v>0</v>
      </c>
      <c r="BD97" s="117">
        <v>1.8</v>
      </c>
      <c r="BE97" s="3">
        <v>0</v>
      </c>
      <c r="BF97" s="3">
        <v>1</v>
      </c>
      <c r="BG97" s="3">
        <v>1</v>
      </c>
      <c r="BH97" s="3">
        <v>2</v>
      </c>
      <c r="BI97" s="3">
        <v>2</v>
      </c>
      <c r="BJ97" s="3">
        <v>2</v>
      </c>
      <c r="BK97" s="3">
        <v>2</v>
      </c>
      <c r="BL97" s="3">
        <v>2</v>
      </c>
      <c r="BM97" s="3">
        <v>3</v>
      </c>
      <c r="BN97" s="3">
        <v>3</v>
      </c>
      <c r="BO97" s="3">
        <v>0</v>
      </c>
      <c r="BP97" s="20">
        <v>0</v>
      </c>
      <c r="BQ97" s="65">
        <v>1.1000000000000001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1</v>
      </c>
      <c r="BX97" s="3">
        <v>1</v>
      </c>
      <c r="BY97" s="3">
        <v>3</v>
      </c>
      <c r="BZ97" s="3">
        <v>3</v>
      </c>
      <c r="CA97" s="3">
        <v>3</v>
      </c>
      <c r="CB97" s="3">
        <v>0</v>
      </c>
      <c r="CC97" s="3">
        <v>0</v>
      </c>
      <c r="CD97" s="16">
        <v>0</v>
      </c>
      <c r="CE97" s="3"/>
      <c r="CF97" s="3"/>
      <c r="CG97" s="3"/>
      <c r="CH97" s="3"/>
      <c r="CI97" s="3"/>
      <c r="CL97" s="66">
        <v>0</v>
      </c>
      <c r="CM97" s="66">
        <v>0</v>
      </c>
      <c r="CN97" s="66">
        <v>0</v>
      </c>
      <c r="CO97" s="3">
        <v>0</v>
      </c>
      <c r="CP97" s="3">
        <v>0</v>
      </c>
      <c r="CQ97" s="90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89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90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91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87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97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91"/>
      <c r="FR97" s="102"/>
      <c r="GA97" s="34"/>
    </row>
    <row r="98" spans="1:183" x14ac:dyDescent="0.25">
      <c r="A98" s="6" t="s">
        <v>204</v>
      </c>
      <c r="B98" s="25" t="s">
        <v>219</v>
      </c>
      <c r="C98" s="1" t="s">
        <v>216</v>
      </c>
      <c r="D98" s="141">
        <f t="shared" si="27"/>
        <v>23.75</v>
      </c>
      <c r="E98" s="141">
        <v>20</v>
      </c>
      <c r="F98" s="141">
        <v>24</v>
      </c>
      <c r="G98" s="141">
        <v>26</v>
      </c>
      <c r="H98" s="141">
        <v>25</v>
      </c>
      <c r="P98" s="77"/>
      <c r="Q98" s="159">
        <f t="shared" si="21"/>
        <v>19.099</v>
      </c>
      <c r="R98" s="141">
        <v>15</v>
      </c>
      <c r="S98" s="141">
        <v>16</v>
      </c>
      <c r="T98" s="141">
        <v>23</v>
      </c>
      <c r="U98" s="141">
        <v>20</v>
      </c>
      <c r="V98" s="141">
        <v>19.990000000000002</v>
      </c>
      <c r="W98" s="141">
        <v>21</v>
      </c>
      <c r="X98" s="141">
        <v>20</v>
      </c>
      <c r="Y98" s="141">
        <v>19</v>
      </c>
      <c r="Z98" s="141">
        <v>19</v>
      </c>
      <c r="AA98" s="141">
        <v>18</v>
      </c>
      <c r="AB98" s="141">
        <v>0</v>
      </c>
      <c r="AC98" s="154">
        <v>0</v>
      </c>
      <c r="AD98" s="159">
        <v>18.2</v>
      </c>
      <c r="AE98" s="141">
        <v>19</v>
      </c>
      <c r="AF98" s="141">
        <v>21</v>
      </c>
      <c r="AG98" s="141">
        <v>19</v>
      </c>
      <c r="AH98" s="141">
        <v>17</v>
      </c>
      <c r="AI98" s="141">
        <v>16</v>
      </c>
      <c r="AJ98" s="141">
        <v>22</v>
      </c>
      <c r="AK98" s="141">
        <v>22</v>
      </c>
      <c r="AL98" s="141">
        <v>17</v>
      </c>
      <c r="AM98" s="141">
        <v>13</v>
      </c>
      <c r="AN98" s="141">
        <v>16</v>
      </c>
      <c r="AO98" s="141">
        <v>0</v>
      </c>
      <c r="AP98" s="154">
        <v>0</v>
      </c>
      <c r="AQ98" s="9">
        <f t="shared" si="22"/>
        <v>22.7</v>
      </c>
      <c r="AR98" s="3">
        <v>23</v>
      </c>
      <c r="AS98" s="3">
        <v>23</v>
      </c>
      <c r="AT98" s="3">
        <v>26</v>
      </c>
      <c r="AU98" s="3">
        <v>22</v>
      </c>
      <c r="AV98" s="3">
        <v>17</v>
      </c>
      <c r="AW98" s="3">
        <v>22</v>
      </c>
      <c r="AX98" s="3">
        <v>21</v>
      </c>
      <c r="AY98" s="3">
        <v>24</v>
      </c>
      <c r="AZ98" s="3">
        <v>24</v>
      </c>
      <c r="BA98" s="3">
        <v>25</v>
      </c>
      <c r="BB98" s="3">
        <v>0</v>
      </c>
      <c r="BC98" s="20">
        <v>0</v>
      </c>
      <c r="BD98" s="117">
        <v>19</v>
      </c>
      <c r="BE98" s="3">
        <v>11</v>
      </c>
      <c r="BF98" s="3">
        <v>15</v>
      </c>
      <c r="BG98" s="3">
        <v>13</v>
      </c>
      <c r="BH98" s="3">
        <v>16</v>
      </c>
      <c r="BI98" s="3">
        <v>19</v>
      </c>
      <c r="BJ98" s="3">
        <v>22</v>
      </c>
      <c r="BK98" s="3">
        <v>25</v>
      </c>
      <c r="BL98" s="3">
        <v>24</v>
      </c>
      <c r="BM98" s="3">
        <v>23</v>
      </c>
      <c r="BN98" s="3">
        <v>22</v>
      </c>
      <c r="BO98" s="3">
        <v>0</v>
      </c>
      <c r="BP98" s="20">
        <v>0</v>
      </c>
      <c r="BQ98" s="65">
        <v>14.8</v>
      </c>
      <c r="BR98" s="3">
        <v>14</v>
      </c>
      <c r="BS98" s="3">
        <v>11</v>
      </c>
      <c r="BT98" s="3">
        <v>13</v>
      </c>
      <c r="BU98" s="3">
        <v>15</v>
      </c>
      <c r="BV98" s="3">
        <v>17</v>
      </c>
      <c r="BW98" s="3">
        <v>17</v>
      </c>
      <c r="BX98" s="3">
        <v>15</v>
      </c>
      <c r="BY98" s="3">
        <v>14</v>
      </c>
      <c r="BZ98" s="3">
        <v>16</v>
      </c>
      <c r="CA98" s="3">
        <v>16</v>
      </c>
      <c r="CB98" s="3">
        <v>0</v>
      </c>
      <c r="CC98" s="3">
        <v>0</v>
      </c>
      <c r="CD98" s="16">
        <v>12.933000000000002</v>
      </c>
      <c r="CE98" s="3">
        <v>12</v>
      </c>
      <c r="CF98" s="3">
        <v>11</v>
      </c>
      <c r="CG98" s="3">
        <v>13</v>
      </c>
      <c r="CH98" s="3">
        <v>11</v>
      </c>
      <c r="CI98" s="3">
        <v>10</v>
      </c>
      <c r="CJ98" s="3">
        <v>14</v>
      </c>
      <c r="CK98" s="3">
        <v>12</v>
      </c>
      <c r="CL98" s="66">
        <v>12.96</v>
      </c>
      <c r="CM98" s="66">
        <v>15.09</v>
      </c>
      <c r="CN98" s="66">
        <v>18.279999999999998</v>
      </c>
      <c r="CO98" s="3">
        <v>0</v>
      </c>
      <c r="CP98" s="3">
        <v>0</v>
      </c>
      <c r="CQ98" s="20">
        <v>14.9</v>
      </c>
      <c r="CR98" s="3">
        <v>16</v>
      </c>
      <c r="CS98" s="3">
        <v>15</v>
      </c>
      <c r="CT98" s="3">
        <v>18</v>
      </c>
      <c r="CU98" s="3">
        <v>15</v>
      </c>
      <c r="CV98" s="3">
        <v>11</v>
      </c>
      <c r="CW98" s="3">
        <v>14</v>
      </c>
      <c r="CX98" s="3">
        <v>14</v>
      </c>
      <c r="CY98" s="3">
        <v>13</v>
      </c>
      <c r="CZ98" s="3">
        <v>15</v>
      </c>
      <c r="DA98" s="3">
        <v>18</v>
      </c>
      <c r="DB98" s="3">
        <v>0</v>
      </c>
      <c r="DC98" s="3">
        <v>0</v>
      </c>
      <c r="DD98" s="9">
        <v>18</v>
      </c>
      <c r="DE98" s="3">
        <v>18</v>
      </c>
      <c r="DF98" s="3">
        <v>7</v>
      </c>
      <c r="DG98" s="3">
        <v>18</v>
      </c>
      <c r="DH98" s="3">
        <v>19</v>
      </c>
      <c r="DI98" s="3">
        <v>13</v>
      </c>
      <c r="DJ98" s="3">
        <v>21</v>
      </c>
      <c r="DK98" s="3">
        <v>20</v>
      </c>
      <c r="DL98" s="3">
        <v>21</v>
      </c>
      <c r="DM98" s="3">
        <v>21</v>
      </c>
      <c r="DN98" s="3">
        <v>22</v>
      </c>
      <c r="DO98" s="3">
        <v>0</v>
      </c>
      <c r="DP98" s="3">
        <v>0</v>
      </c>
      <c r="DQ98" s="20">
        <v>16.399999999999999</v>
      </c>
      <c r="DR98" s="3">
        <v>12</v>
      </c>
      <c r="DS98" s="3">
        <v>13</v>
      </c>
      <c r="DT98" s="3">
        <v>16</v>
      </c>
      <c r="DU98" s="3">
        <v>18</v>
      </c>
      <c r="DV98" s="3">
        <v>16</v>
      </c>
      <c r="DW98" s="3">
        <v>17</v>
      </c>
      <c r="DX98" s="3">
        <v>18</v>
      </c>
      <c r="DY98" s="3">
        <v>19</v>
      </c>
      <c r="DZ98" s="3">
        <v>18</v>
      </c>
      <c r="EA98" s="3">
        <v>17</v>
      </c>
      <c r="EB98" s="3">
        <v>0</v>
      </c>
      <c r="EC98" s="3">
        <v>0</v>
      </c>
      <c r="ED98" s="16">
        <f t="shared" si="25"/>
        <v>7.0129999999999999</v>
      </c>
      <c r="EE98" s="3"/>
      <c r="EF98" s="3">
        <v>2</v>
      </c>
      <c r="EG98" s="3">
        <v>5</v>
      </c>
      <c r="EH98" s="3">
        <v>5</v>
      </c>
      <c r="EI98" s="3">
        <v>9</v>
      </c>
      <c r="EJ98" s="3">
        <v>8</v>
      </c>
      <c r="EK98" s="3">
        <v>9.1300000000000008</v>
      </c>
      <c r="EL98" s="3">
        <v>12</v>
      </c>
      <c r="EM98" s="3">
        <v>10</v>
      </c>
      <c r="EN98" s="3">
        <v>10</v>
      </c>
      <c r="EO98" s="3">
        <v>0</v>
      </c>
      <c r="EP98" s="3">
        <v>0</v>
      </c>
      <c r="EQ98" s="87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89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102"/>
      <c r="FR98" s="102"/>
      <c r="GA98" s="34"/>
    </row>
    <row r="99" spans="1:183" x14ac:dyDescent="0.25">
      <c r="A99" s="6" t="s">
        <v>228</v>
      </c>
      <c r="B99" s="25" t="s">
        <v>232</v>
      </c>
      <c r="C99" s="1" t="s">
        <v>231</v>
      </c>
      <c r="D99" s="141">
        <f t="shared" si="27"/>
        <v>50.734999999999992</v>
      </c>
      <c r="E99" s="141">
        <v>36</v>
      </c>
      <c r="F99" s="141">
        <v>42.98</v>
      </c>
      <c r="G99" s="141">
        <v>63.98</v>
      </c>
      <c r="H99" s="141">
        <v>59.98</v>
      </c>
      <c r="P99" s="77"/>
      <c r="Q99" s="159">
        <f t="shared" si="21"/>
        <v>63.914999999999999</v>
      </c>
      <c r="R99" s="141">
        <v>26</v>
      </c>
      <c r="S99" s="141">
        <v>50</v>
      </c>
      <c r="T99" s="141">
        <v>54.93</v>
      </c>
      <c r="U99" s="141">
        <v>57.93</v>
      </c>
      <c r="V99" s="141">
        <v>66</v>
      </c>
      <c r="W99" s="141">
        <v>76.319999999999993</v>
      </c>
      <c r="X99" s="141">
        <v>74</v>
      </c>
      <c r="Y99" s="141">
        <v>76.989999999999995</v>
      </c>
      <c r="Z99" s="141">
        <v>70.66</v>
      </c>
      <c r="AA99" s="141">
        <v>67.66</v>
      </c>
      <c r="AB99" s="141">
        <v>18.66</v>
      </c>
      <c r="AC99" s="154">
        <v>0</v>
      </c>
      <c r="AD99" s="159">
        <v>52.4</v>
      </c>
      <c r="AE99" s="141">
        <v>34</v>
      </c>
      <c r="AF99" s="141">
        <v>52</v>
      </c>
      <c r="AG99" s="141">
        <v>55</v>
      </c>
      <c r="AH99" s="141">
        <v>54</v>
      </c>
      <c r="AI99" s="141">
        <v>52</v>
      </c>
      <c r="AJ99" s="141">
        <v>57</v>
      </c>
      <c r="AK99" s="141">
        <v>49</v>
      </c>
      <c r="AL99" s="141">
        <v>58</v>
      </c>
      <c r="AM99" s="141">
        <v>59</v>
      </c>
      <c r="AN99" s="141">
        <v>54</v>
      </c>
      <c r="AO99" s="141">
        <v>0</v>
      </c>
      <c r="AP99" s="154">
        <v>0</v>
      </c>
      <c r="AQ99" s="9">
        <f t="shared" si="22"/>
        <v>40.700000000000003</v>
      </c>
      <c r="AR99" s="3">
        <v>17</v>
      </c>
      <c r="AS99" s="3">
        <v>28</v>
      </c>
      <c r="AT99" s="3">
        <v>41</v>
      </c>
      <c r="AU99" s="3">
        <v>40</v>
      </c>
      <c r="AV99" s="3">
        <v>38</v>
      </c>
      <c r="AW99" s="3">
        <v>46</v>
      </c>
      <c r="AX99" s="3">
        <v>47</v>
      </c>
      <c r="AY99" s="3">
        <v>50</v>
      </c>
      <c r="AZ99" s="3">
        <v>51</v>
      </c>
      <c r="BA99" s="3">
        <v>49</v>
      </c>
      <c r="BB99" s="3">
        <v>0</v>
      </c>
      <c r="BC99" s="20">
        <v>0</v>
      </c>
      <c r="BD99" s="117">
        <v>28.265999999999998</v>
      </c>
      <c r="BE99" s="3">
        <v>5</v>
      </c>
      <c r="BF99" s="3">
        <v>21</v>
      </c>
      <c r="BG99" s="3">
        <v>29</v>
      </c>
      <c r="BH99" s="3">
        <v>31</v>
      </c>
      <c r="BI99" s="3">
        <v>28</v>
      </c>
      <c r="BJ99" s="3">
        <v>28</v>
      </c>
      <c r="BK99" s="3">
        <v>30</v>
      </c>
      <c r="BL99" s="3">
        <v>32.659999999999997</v>
      </c>
      <c r="BM99" s="3">
        <v>39</v>
      </c>
      <c r="BN99" s="3">
        <v>39</v>
      </c>
      <c r="BO99" s="3">
        <v>0</v>
      </c>
      <c r="BP99" s="20">
        <v>0</v>
      </c>
      <c r="BQ99" s="65">
        <v>21.1</v>
      </c>
      <c r="BR99" s="3">
        <v>14</v>
      </c>
      <c r="BS99" s="3">
        <v>20</v>
      </c>
      <c r="BT99" s="3">
        <v>25</v>
      </c>
      <c r="BU99" s="3">
        <v>25</v>
      </c>
      <c r="BV99" s="3">
        <v>20</v>
      </c>
      <c r="BW99" s="3">
        <v>25</v>
      </c>
      <c r="BX99" s="3">
        <v>23</v>
      </c>
      <c r="BY99" s="3">
        <v>26</v>
      </c>
      <c r="BZ99" s="3">
        <v>19</v>
      </c>
      <c r="CA99" s="3">
        <v>14</v>
      </c>
      <c r="CB99" s="3">
        <v>0</v>
      </c>
      <c r="CC99" s="3">
        <v>0</v>
      </c>
      <c r="CD99" s="16">
        <v>46.239000000000004</v>
      </c>
      <c r="CE99" s="3">
        <v>0</v>
      </c>
      <c r="CF99" s="3">
        <v>41</v>
      </c>
      <c r="CG99" s="3">
        <v>55</v>
      </c>
      <c r="CH99" s="3">
        <v>52</v>
      </c>
      <c r="CI99" s="3">
        <v>54.99</v>
      </c>
      <c r="CJ99" s="3">
        <v>54.02</v>
      </c>
      <c r="CK99" s="3">
        <v>53.660000000000004</v>
      </c>
      <c r="CL99" s="66">
        <v>45.92</v>
      </c>
      <c r="CM99" s="66">
        <v>58.57</v>
      </c>
      <c r="CN99" s="66">
        <v>47.230000000000004</v>
      </c>
      <c r="CO99" s="3">
        <v>0</v>
      </c>
      <c r="CP99" s="3">
        <v>0</v>
      </c>
      <c r="CQ99" s="20">
        <v>37.200000000000003</v>
      </c>
      <c r="CR99" s="3">
        <v>0</v>
      </c>
      <c r="CS99" s="3">
        <v>47</v>
      </c>
      <c r="CT99" s="3">
        <v>48</v>
      </c>
      <c r="CU99" s="3">
        <v>46</v>
      </c>
      <c r="CV99" s="3">
        <v>37</v>
      </c>
      <c r="CW99" s="3">
        <v>48</v>
      </c>
      <c r="CX99" s="3">
        <v>37</v>
      </c>
      <c r="CY99" s="3">
        <v>32</v>
      </c>
      <c r="CZ99" s="3">
        <v>42</v>
      </c>
      <c r="DA99" s="3">
        <v>35</v>
      </c>
      <c r="DB99" s="3">
        <v>0</v>
      </c>
      <c r="DC99" s="3">
        <v>0</v>
      </c>
      <c r="DD99" s="9">
        <v>46.8</v>
      </c>
      <c r="DE99" s="3">
        <v>0</v>
      </c>
      <c r="DF99" s="3">
        <v>61</v>
      </c>
      <c r="DG99" s="3">
        <v>59</v>
      </c>
      <c r="DH99" s="3">
        <v>54</v>
      </c>
      <c r="DI99" s="3">
        <v>20</v>
      </c>
      <c r="DJ99" s="3">
        <v>57</v>
      </c>
      <c r="DK99" s="3">
        <v>58</v>
      </c>
      <c r="DL99" s="3">
        <v>45</v>
      </c>
      <c r="DM99" s="3">
        <v>64</v>
      </c>
      <c r="DN99" s="3">
        <v>50</v>
      </c>
      <c r="DO99" s="3">
        <v>0</v>
      </c>
      <c r="DP99" s="3">
        <v>0</v>
      </c>
      <c r="DQ99" s="20">
        <v>30.7</v>
      </c>
      <c r="DR99" s="3">
        <v>0</v>
      </c>
      <c r="DS99" s="3">
        <v>24</v>
      </c>
      <c r="DT99" s="3">
        <v>36</v>
      </c>
      <c r="DU99" s="3">
        <v>34</v>
      </c>
      <c r="DV99" s="3">
        <v>24</v>
      </c>
      <c r="DW99" s="3">
        <v>40</v>
      </c>
      <c r="DX99" s="3">
        <v>45</v>
      </c>
      <c r="DY99" s="3">
        <v>38</v>
      </c>
      <c r="DZ99" s="3">
        <v>41</v>
      </c>
      <c r="EA99" s="3">
        <v>25</v>
      </c>
      <c r="EB99" s="3">
        <v>0</v>
      </c>
      <c r="EC99" s="3">
        <v>0</v>
      </c>
      <c r="ED99" s="16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Q99" s="87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97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102"/>
      <c r="FR99" s="102"/>
      <c r="GA99" s="34"/>
    </row>
    <row r="100" spans="1:183" x14ac:dyDescent="0.25">
      <c r="A100" s="6" t="s">
        <v>259</v>
      </c>
      <c r="B100" s="26" t="s">
        <v>258</v>
      </c>
      <c r="C100" s="7" t="s">
        <v>257</v>
      </c>
      <c r="D100" s="142">
        <f t="shared" si="27"/>
        <v>100.25</v>
      </c>
      <c r="E100" s="142">
        <v>93</v>
      </c>
      <c r="F100" s="142">
        <v>105</v>
      </c>
      <c r="G100" s="142">
        <v>99</v>
      </c>
      <c r="H100" s="142">
        <v>104</v>
      </c>
      <c r="I100" s="7"/>
      <c r="J100" s="7"/>
      <c r="K100" s="7"/>
      <c r="L100" s="7"/>
      <c r="M100" s="7"/>
      <c r="N100" s="7"/>
      <c r="O100" s="7"/>
      <c r="P100" s="179"/>
      <c r="Q100" s="160">
        <f t="shared" si="21"/>
        <v>92.8</v>
      </c>
      <c r="R100" s="142">
        <v>55</v>
      </c>
      <c r="S100" s="142">
        <v>75</v>
      </c>
      <c r="T100" s="142">
        <v>86</v>
      </c>
      <c r="U100" s="142">
        <v>89</v>
      </c>
      <c r="V100" s="142">
        <v>82</v>
      </c>
      <c r="W100" s="142">
        <v>90</v>
      </c>
      <c r="X100" s="142">
        <v>88</v>
      </c>
      <c r="Y100" s="142">
        <v>93</v>
      </c>
      <c r="Z100" s="142">
        <v>95</v>
      </c>
      <c r="AA100" s="142">
        <v>102</v>
      </c>
      <c r="AB100" s="142">
        <v>73</v>
      </c>
      <c r="AC100" s="155">
        <v>0</v>
      </c>
      <c r="AD100" s="160">
        <v>80.8</v>
      </c>
      <c r="AE100" s="142">
        <v>62</v>
      </c>
      <c r="AF100" s="142">
        <v>72</v>
      </c>
      <c r="AG100" s="142">
        <v>81</v>
      </c>
      <c r="AH100" s="142">
        <v>78</v>
      </c>
      <c r="AI100" s="142">
        <v>73</v>
      </c>
      <c r="AJ100" s="142">
        <v>80</v>
      </c>
      <c r="AK100" s="142">
        <v>69</v>
      </c>
      <c r="AL100" s="142">
        <v>73</v>
      </c>
      <c r="AM100" s="142">
        <v>68</v>
      </c>
      <c r="AN100" s="142">
        <v>70</v>
      </c>
      <c r="AO100" s="142">
        <v>43</v>
      </c>
      <c r="AP100" s="155">
        <v>39</v>
      </c>
      <c r="AQ100" s="10">
        <f t="shared" si="22"/>
        <v>69.599999999999994</v>
      </c>
      <c r="AR100" s="15">
        <v>54</v>
      </c>
      <c r="AS100" s="15">
        <v>55</v>
      </c>
      <c r="AT100" s="15">
        <v>59</v>
      </c>
      <c r="AU100" s="15">
        <v>59</v>
      </c>
      <c r="AV100" s="15">
        <v>59</v>
      </c>
      <c r="AW100" s="15">
        <v>57</v>
      </c>
      <c r="AX100" s="15">
        <v>67</v>
      </c>
      <c r="AY100" s="15">
        <v>68</v>
      </c>
      <c r="AZ100" s="15">
        <v>64</v>
      </c>
      <c r="BA100" s="15">
        <v>66</v>
      </c>
      <c r="BB100" s="15">
        <v>46</v>
      </c>
      <c r="BC100" s="21">
        <v>42</v>
      </c>
      <c r="BD100" s="118">
        <v>61.7</v>
      </c>
      <c r="BE100" s="15">
        <v>28</v>
      </c>
      <c r="BF100" s="15">
        <v>28</v>
      </c>
      <c r="BG100" s="15">
        <v>37</v>
      </c>
      <c r="BH100" s="15">
        <v>46</v>
      </c>
      <c r="BI100" s="15">
        <v>48</v>
      </c>
      <c r="BJ100" s="15">
        <v>44</v>
      </c>
      <c r="BK100" s="15">
        <v>65</v>
      </c>
      <c r="BL100" s="15">
        <v>74</v>
      </c>
      <c r="BM100" s="15">
        <v>66</v>
      </c>
      <c r="BN100" s="15">
        <v>76</v>
      </c>
      <c r="BO100" s="15">
        <v>58</v>
      </c>
      <c r="BP100" s="21">
        <v>47</v>
      </c>
      <c r="BQ100" s="73">
        <v>41.1</v>
      </c>
      <c r="BR100" s="15">
        <v>38</v>
      </c>
      <c r="BS100" s="15">
        <v>37</v>
      </c>
      <c r="BT100" s="15">
        <v>38</v>
      </c>
      <c r="BU100" s="15">
        <v>38</v>
      </c>
      <c r="BV100" s="15">
        <v>41</v>
      </c>
      <c r="BW100" s="15">
        <v>34</v>
      </c>
      <c r="BX100" s="15">
        <v>33</v>
      </c>
      <c r="BY100" s="15">
        <v>35</v>
      </c>
      <c r="BZ100" s="15">
        <v>34</v>
      </c>
      <c r="CA100" s="15">
        <v>35</v>
      </c>
      <c r="CB100" s="15">
        <v>27</v>
      </c>
      <c r="CC100" s="15">
        <v>21</v>
      </c>
      <c r="CD100" s="18">
        <v>48.08</v>
      </c>
      <c r="CE100" s="15">
        <v>35</v>
      </c>
      <c r="CF100" s="15">
        <v>35</v>
      </c>
      <c r="CG100" s="15">
        <v>42</v>
      </c>
      <c r="CH100" s="15">
        <v>49</v>
      </c>
      <c r="CI100" s="15">
        <v>45</v>
      </c>
      <c r="CJ100" s="15">
        <v>44</v>
      </c>
      <c r="CK100" s="15">
        <v>48</v>
      </c>
      <c r="CL100" s="74">
        <v>40.700000000000003</v>
      </c>
      <c r="CM100" s="74">
        <v>36.299999999999997</v>
      </c>
      <c r="CN100" s="74">
        <v>41.8</v>
      </c>
      <c r="CO100" s="15">
        <v>35</v>
      </c>
      <c r="CP100" s="15">
        <v>29</v>
      </c>
      <c r="CQ100" s="21">
        <v>40.4</v>
      </c>
      <c r="CR100" s="15">
        <v>25</v>
      </c>
      <c r="CS100" s="15">
        <v>24</v>
      </c>
      <c r="CT100" s="15">
        <v>30</v>
      </c>
      <c r="CU100" s="15">
        <v>30</v>
      </c>
      <c r="CV100" s="15">
        <v>38</v>
      </c>
      <c r="CW100" s="15">
        <v>41</v>
      </c>
      <c r="CX100" s="15">
        <v>40</v>
      </c>
      <c r="CY100" s="15">
        <v>37</v>
      </c>
      <c r="CZ100" s="15">
        <v>33</v>
      </c>
      <c r="DA100" s="15">
        <v>38</v>
      </c>
      <c r="DB100" s="15">
        <v>32</v>
      </c>
      <c r="DC100" s="15">
        <v>36</v>
      </c>
      <c r="DD100" s="10">
        <v>36.700000000000003</v>
      </c>
      <c r="DE100" s="15">
        <v>25</v>
      </c>
      <c r="DF100" s="15">
        <v>24</v>
      </c>
      <c r="DG100" s="15">
        <v>32</v>
      </c>
      <c r="DH100" s="15">
        <v>32</v>
      </c>
      <c r="DI100" s="15">
        <v>30</v>
      </c>
      <c r="DJ100" s="15">
        <v>31</v>
      </c>
      <c r="DK100" s="15">
        <v>27</v>
      </c>
      <c r="DL100" s="15">
        <v>28</v>
      </c>
      <c r="DM100" s="15">
        <v>38</v>
      </c>
      <c r="DN100" s="15">
        <v>32</v>
      </c>
      <c r="DO100" s="15">
        <v>34</v>
      </c>
      <c r="DP100" s="15">
        <v>34</v>
      </c>
      <c r="DQ100" s="21">
        <v>11.8</v>
      </c>
      <c r="DR100" s="15"/>
      <c r="DS100" s="15"/>
      <c r="DT100" s="15"/>
      <c r="DU100" s="7"/>
      <c r="DV100" s="7"/>
      <c r="DW100" s="15">
        <v>0</v>
      </c>
      <c r="DX100" s="15">
        <v>5</v>
      </c>
      <c r="DY100" s="15">
        <v>21</v>
      </c>
      <c r="DZ100" s="15">
        <v>21</v>
      </c>
      <c r="EA100" s="15">
        <v>24</v>
      </c>
      <c r="EB100" s="15">
        <v>23</v>
      </c>
      <c r="EC100" s="15">
        <v>24</v>
      </c>
      <c r="ED100" s="18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7"/>
      <c r="EQ100" s="10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06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03"/>
      <c r="FR100" s="103"/>
      <c r="GA100" s="34"/>
    </row>
    <row r="101" spans="1:183" x14ac:dyDescent="0.25">
      <c r="A101" s="12" t="s">
        <v>329</v>
      </c>
      <c r="B101" s="25" t="s">
        <v>347</v>
      </c>
      <c r="C101" s="1" t="s">
        <v>336</v>
      </c>
      <c r="D101" s="141">
        <f t="shared" si="27"/>
        <v>0</v>
      </c>
      <c r="E101" s="141">
        <v>0</v>
      </c>
      <c r="F101" s="141">
        <v>0</v>
      </c>
      <c r="G101" s="141">
        <v>0</v>
      </c>
      <c r="H101" s="141">
        <v>0</v>
      </c>
      <c r="P101" s="77"/>
      <c r="Q101" s="159">
        <f t="shared" si="21"/>
        <v>0.1</v>
      </c>
      <c r="R101" s="141">
        <v>0</v>
      </c>
      <c r="S101" s="141">
        <v>0</v>
      </c>
      <c r="T101" s="141">
        <v>0</v>
      </c>
      <c r="U101" s="141">
        <v>0</v>
      </c>
      <c r="V101" s="141">
        <v>1</v>
      </c>
      <c r="W101" s="141">
        <v>0</v>
      </c>
      <c r="X101" s="141">
        <v>0</v>
      </c>
      <c r="Y101" s="141">
        <v>0</v>
      </c>
      <c r="Z101" s="141">
        <v>0</v>
      </c>
      <c r="AA101" s="141">
        <v>0</v>
      </c>
      <c r="AB101" s="141">
        <v>0</v>
      </c>
      <c r="AC101" s="154">
        <v>0</v>
      </c>
      <c r="AD101" s="159">
        <v>0.2</v>
      </c>
      <c r="AE101" s="141">
        <v>0</v>
      </c>
      <c r="AF101" s="141">
        <v>0</v>
      </c>
      <c r="AG101" s="141">
        <v>0</v>
      </c>
      <c r="AH101" s="141">
        <v>0</v>
      </c>
      <c r="AI101" s="141">
        <v>0</v>
      </c>
      <c r="AJ101" s="141">
        <v>0</v>
      </c>
      <c r="AK101" s="141">
        <v>0</v>
      </c>
      <c r="AL101" s="141">
        <v>0</v>
      </c>
      <c r="AM101" s="141">
        <v>1</v>
      </c>
      <c r="AN101" s="141">
        <v>1</v>
      </c>
      <c r="AO101" s="141">
        <v>0</v>
      </c>
      <c r="AP101" s="141">
        <v>0</v>
      </c>
      <c r="AQ101" s="9">
        <f t="shared" si="22"/>
        <v>1</v>
      </c>
      <c r="AR101" s="3">
        <v>2</v>
      </c>
      <c r="AS101" s="3">
        <v>2</v>
      </c>
      <c r="AT101" s="3">
        <v>2</v>
      </c>
      <c r="AU101" s="3">
        <v>2</v>
      </c>
      <c r="AV101" s="3">
        <v>1</v>
      </c>
      <c r="AW101" s="3">
        <v>1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117">
        <v>3.5</v>
      </c>
      <c r="BE101" s="3">
        <v>2</v>
      </c>
      <c r="BF101" s="3">
        <v>3</v>
      </c>
      <c r="BG101" s="3">
        <v>3</v>
      </c>
      <c r="BH101" s="3">
        <v>3</v>
      </c>
      <c r="BI101" s="3">
        <v>3</v>
      </c>
      <c r="BJ101" s="3">
        <v>4</v>
      </c>
      <c r="BK101" s="3">
        <v>4</v>
      </c>
      <c r="BL101" s="3">
        <v>4</v>
      </c>
      <c r="BM101" s="3">
        <v>3</v>
      </c>
      <c r="BN101" s="3">
        <v>3</v>
      </c>
      <c r="BO101" s="3">
        <v>2</v>
      </c>
      <c r="BP101" s="20">
        <v>1</v>
      </c>
      <c r="BQ101" s="65">
        <v>0.4</v>
      </c>
      <c r="BR101" s="3">
        <v>1</v>
      </c>
      <c r="BS101" s="3">
        <v>1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2</v>
      </c>
      <c r="CB101" s="3">
        <v>0</v>
      </c>
      <c r="CC101" s="3">
        <v>0</v>
      </c>
      <c r="CD101" s="16">
        <v>1.123</v>
      </c>
      <c r="CE101" s="3">
        <v>1</v>
      </c>
      <c r="CF101" s="3">
        <v>1</v>
      </c>
      <c r="CG101" s="3">
        <v>1</v>
      </c>
      <c r="CH101" s="3">
        <v>1</v>
      </c>
      <c r="CI101" s="3">
        <v>0</v>
      </c>
      <c r="CJ101" s="3">
        <v>1</v>
      </c>
      <c r="CK101" s="3">
        <v>1</v>
      </c>
      <c r="CL101" s="66">
        <v>1.08</v>
      </c>
      <c r="CM101" s="66">
        <v>1.1000000000000001</v>
      </c>
      <c r="CN101" s="66">
        <v>1.05</v>
      </c>
      <c r="CO101" s="3">
        <v>2</v>
      </c>
      <c r="CP101" s="3">
        <v>0</v>
      </c>
      <c r="CQ101" s="89"/>
      <c r="CR101" s="3"/>
      <c r="CS101" s="3"/>
      <c r="CT101" s="3"/>
      <c r="CU101" s="3"/>
      <c r="CV101" s="3"/>
      <c r="CW101" s="3"/>
      <c r="CX101" s="3"/>
      <c r="CY101" s="3"/>
      <c r="CZ101" s="3"/>
      <c r="DD101" s="89"/>
      <c r="DE101" s="3"/>
      <c r="DF101" s="3"/>
      <c r="DG101" s="3"/>
      <c r="DH101" s="3"/>
      <c r="DI101" s="3"/>
      <c r="DJ101" s="3"/>
      <c r="DK101" s="3"/>
      <c r="DL101" s="3"/>
      <c r="DM101" s="3"/>
      <c r="DQ101" s="89"/>
      <c r="DR101" s="3"/>
      <c r="DS101" s="3"/>
      <c r="DT101" s="3"/>
      <c r="DU101" s="3"/>
      <c r="DV101" s="3"/>
      <c r="DW101" s="3"/>
      <c r="DX101" s="3"/>
      <c r="DY101" s="3"/>
      <c r="DZ101" s="3"/>
      <c r="ED101" s="89"/>
      <c r="EE101" s="3"/>
      <c r="EF101" s="3"/>
      <c r="EG101" s="3"/>
      <c r="EH101" s="3"/>
      <c r="EI101" s="3"/>
      <c r="EJ101" s="3"/>
      <c r="EK101" s="3"/>
      <c r="EL101" s="3"/>
      <c r="EM101" s="3"/>
      <c r="EQ101" s="89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97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102"/>
      <c r="FR101" s="102"/>
      <c r="GA101" s="34"/>
    </row>
    <row r="102" spans="1:183" x14ac:dyDescent="0.25">
      <c r="A102" s="6" t="s">
        <v>159</v>
      </c>
      <c r="B102" s="68" t="s">
        <v>19</v>
      </c>
      <c r="C102" s="1" t="s">
        <v>20</v>
      </c>
      <c r="D102" s="141">
        <f t="shared" si="27"/>
        <v>4.75</v>
      </c>
      <c r="E102" s="141">
        <v>5</v>
      </c>
      <c r="F102" s="141">
        <v>5</v>
      </c>
      <c r="G102" s="141">
        <v>5</v>
      </c>
      <c r="H102" s="141">
        <v>4</v>
      </c>
      <c r="P102" s="77"/>
      <c r="Q102" s="159">
        <f t="shared" si="21"/>
        <v>7.2</v>
      </c>
      <c r="R102" s="141">
        <v>6</v>
      </c>
      <c r="S102" s="141">
        <v>7</v>
      </c>
      <c r="T102" s="141">
        <v>8</v>
      </c>
      <c r="U102" s="141">
        <v>7</v>
      </c>
      <c r="V102" s="141">
        <v>7</v>
      </c>
      <c r="W102" s="141">
        <v>7</v>
      </c>
      <c r="X102" s="141">
        <v>6</v>
      </c>
      <c r="Y102" s="141">
        <v>7</v>
      </c>
      <c r="Z102" s="141">
        <v>5</v>
      </c>
      <c r="AA102" s="141">
        <v>6</v>
      </c>
      <c r="AB102" s="141">
        <v>5</v>
      </c>
      <c r="AC102" s="154">
        <v>1</v>
      </c>
      <c r="AD102" s="159">
        <v>7</v>
      </c>
      <c r="AE102" s="141">
        <v>5</v>
      </c>
      <c r="AF102" s="141">
        <v>3</v>
      </c>
      <c r="AG102" s="141">
        <v>7</v>
      </c>
      <c r="AH102" s="141">
        <v>7</v>
      </c>
      <c r="AI102" s="141">
        <v>8</v>
      </c>
      <c r="AJ102" s="141">
        <v>4</v>
      </c>
      <c r="AK102" s="141">
        <v>8</v>
      </c>
      <c r="AL102" s="141">
        <v>8</v>
      </c>
      <c r="AM102" s="141">
        <v>7</v>
      </c>
      <c r="AN102" s="141">
        <v>5</v>
      </c>
      <c r="AO102" s="141">
        <v>4</v>
      </c>
      <c r="AP102" s="141">
        <v>4</v>
      </c>
      <c r="AQ102" s="9">
        <f t="shared" si="22"/>
        <v>3.3</v>
      </c>
      <c r="AR102" s="3">
        <v>5</v>
      </c>
      <c r="AS102" s="3">
        <v>3</v>
      </c>
      <c r="AT102" s="3">
        <v>3</v>
      </c>
      <c r="AU102" s="3">
        <v>2</v>
      </c>
      <c r="AV102" s="3">
        <v>1</v>
      </c>
      <c r="AW102" s="3">
        <v>3</v>
      </c>
      <c r="AX102" s="3">
        <v>2</v>
      </c>
      <c r="AY102" s="3">
        <v>3</v>
      </c>
      <c r="AZ102" s="3">
        <v>3</v>
      </c>
      <c r="BA102" s="3">
        <v>3</v>
      </c>
      <c r="BB102" s="3">
        <v>3</v>
      </c>
      <c r="BC102" s="3">
        <v>2</v>
      </c>
      <c r="BD102" s="117">
        <v>3.5</v>
      </c>
      <c r="BE102" s="3">
        <v>2</v>
      </c>
      <c r="BF102" s="3">
        <v>0</v>
      </c>
      <c r="BG102" s="3">
        <v>3</v>
      </c>
      <c r="BH102" s="3">
        <v>4</v>
      </c>
      <c r="BI102" s="3">
        <v>3</v>
      </c>
      <c r="BJ102" s="3">
        <v>1</v>
      </c>
      <c r="BK102" s="3">
        <v>4</v>
      </c>
      <c r="BL102" s="3">
        <v>5</v>
      </c>
      <c r="BM102" s="3">
        <v>3</v>
      </c>
      <c r="BN102" s="3">
        <v>3</v>
      </c>
      <c r="BO102" s="3">
        <v>3</v>
      </c>
      <c r="BP102" s="20">
        <v>4</v>
      </c>
      <c r="BQ102" s="65">
        <v>2.2000000000000002</v>
      </c>
      <c r="BR102" s="3">
        <v>4</v>
      </c>
      <c r="BS102" s="3">
        <v>2</v>
      </c>
      <c r="BT102" s="3">
        <v>3</v>
      </c>
      <c r="BU102" s="3">
        <v>5</v>
      </c>
      <c r="BV102" s="3">
        <v>2</v>
      </c>
      <c r="BW102" s="3">
        <v>2</v>
      </c>
      <c r="BX102" s="3">
        <v>2</v>
      </c>
      <c r="BY102" s="3">
        <v>0</v>
      </c>
      <c r="BZ102" s="3">
        <v>0</v>
      </c>
      <c r="CA102" s="3">
        <v>1</v>
      </c>
      <c r="CB102" s="3">
        <v>1</v>
      </c>
      <c r="CC102" s="3">
        <v>0</v>
      </c>
      <c r="CD102" s="16">
        <v>5.4</v>
      </c>
      <c r="CE102" s="3">
        <v>1</v>
      </c>
      <c r="CF102" s="3">
        <v>3</v>
      </c>
      <c r="CG102" s="3">
        <v>4</v>
      </c>
      <c r="CH102" s="3">
        <v>4</v>
      </c>
      <c r="CI102" s="3">
        <v>6</v>
      </c>
      <c r="CJ102" s="3">
        <v>5</v>
      </c>
      <c r="CK102" s="3">
        <v>5</v>
      </c>
      <c r="CL102" s="66">
        <v>5</v>
      </c>
      <c r="CM102" s="66">
        <v>15</v>
      </c>
      <c r="CN102" s="66">
        <v>5</v>
      </c>
      <c r="CO102" s="3">
        <v>1</v>
      </c>
      <c r="CP102" s="3">
        <v>0</v>
      </c>
      <c r="CQ102" s="9">
        <v>1.3</v>
      </c>
      <c r="CR102" s="3">
        <v>0</v>
      </c>
      <c r="CS102" s="3">
        <v>0</v>
      </c>
      <c r="CT102" s="3">
        <v>1</v>
      </c>
      <c r="CU102" s="3">
        <v>1</v>
      </c>
      <c r="CV102" s="3">
        <v>1</v>
      </c>
      <c r="CW102" s="3">
        <v>1</v>
      </c>
      <c r="CX102" s="3">
        <v>1</v>
      </c>
      <c r="CY102" s="3">
        <v>1</v>
      </c>
      <c r="CZ102" s="3">
        <v>3</v>
      </c>
      <c r="DA102" s="3">
        <v>1</v>
      </c>
      <c r="DB102" s="3">
        <v>1</v>
      </c>
      <c r="DC102" s="3">
        <v>2</v>
      </c>
      <c r="DD102" s="9">
        <v>0.9</v>
      </c>
      <c r="DE102" s="3">
        <v>2</v>
      </c>
      <c r="DF102" s="3">
        <v>1</v>
      </c>
      <c r="DG102" s="3">
        <v>1</v>
      </c>
      <c r="DH102" s="3">
        <v>1</v>
      </c>
      <c r="DI102" s="3">
        <v>1</v>
      </c>
      <c r="DJ102" s="3">
        <v>0</v>
      </c>
      <c r="DK102" s="3">
        <v>1</v>
      </c>
      <c r="DL102" s="3">
        <v>1</v>
      </c>
      <c r="DM102" s="3">
        <v>0</v>
      </c>
      <c r="DN102" s="3">
        <v>1</v>
      </c>
      <c r="DO102" s="3">
        <v>0</v>
      </c>
      <c r="DP102" s="20">
        <v>0</v>
      </c>
      <c r="DQ102" s="9">
        <v>3.8</v>
      </c>
      <c r="DR102" s="3">
        <v>2</v>
      </c>
      <c r="DS102" s="3">
        <v>1</v>
      </c>
      <c r="DT102" s="3">
        <v>5</v>
      </c>
      <c r="DU102" s="3">
        <v>5</v>
      </c>
      <c r="DV102" s="3">
        <v>4</v>
      </c>
      <c r="DW102" s="3">
        <v>1</v>
      </c>
      <c r="DX102" s="3">
        <v>6</v>
      </c>
      <c r="DY102" s="3">
        <v>8</v>
      </c>
      <c r="DZ102" s="3">
        <v>3</v>
      </c>
      <c r="EA102" s="3">
        <v>2</v>
      </c>
      <c r="EB102" s="3">
        <v>0</v>
      </c>
      <c r="EC102" s="3">
        <v>1</v>
      </c>
      <c r="ED102" s="9">
        <f t="shared" ref="ED102:ED116" si="28">+IFERROR((SUM(EE102:EP102)/10),0)</f>
        <v>3.9</v>
      </c>
      <c r="EE102" s="3">
        <v>2</v>
      </c>
      <c r="EF102" s="3">
        <v>1</v>
      </c>
      <c r="EG102" s="3">
        <v>2</v>
      </c>
      <c r="EH102" s="3">
        <v>4</v>
      </c>
      <c r="EI102" s="3">
        <v>1</v>
      </c>
      <c r="EJ102" s="3">
        <v>5</v>
      </c>
      <c r="EK102" s="3">
        <v>3</v>
      </c>
      <c r="EL102" s="3">
        <v>5</v>
      </c>
      <c r="EM102" s="3">
        <v>6</v>
      </c>
      <c r="EN102" s="3">
        <v>5</v>
      </c>
      <c r="EO102" s="3">
        <v>4</v>
      </c>
      <c r="EP102" s="3">
        <v>1</v>
      </c>
      <c r="EQ102" s="9">
        <f t="shared" si="26"/>
        <v>2.7</v>
      </c>
      <c r="ER102" s="3">
        <v>2</v>
      </c>
      <c r="ES102" s="3">
        <v>2</v>
      </c>
      <c r="ET102" s="3">
        <v>2</v>
      </c>
      <c r="EU102" s="3">
        <v>2</v>
      </c>
      <c r="EV102" s="3">
        <v>2</v>
      </c>
      <c r="EW102" s="3">
        <v>1</v>
      </c>
      <c r="EX102" s="3">
        <v>3</v>
      </c>
      <c r="EY102" s="3">
        <v>2</v>
      </c>
      <c r="EZ102" s="3">
        <v>3</v>
      </c>
      <c r="FA102" s="3">
        <v>4</v>
      </c>
      <c r="FB102" s="3">
        <v>2</v>
      </c>
      <c r="FC102" s="3">
        <v>2</v>
      </c>
      <c r="FD102" s="69">
        <f t="shared" si="9"/>
        <v>1.4</v>
      </c>
      <c r="FE102" s="3">
        <v>0</v>
      </c>
      <c r="FF102" s="3">
        <v>0</v>
      </c>
      <c r="FG102" s="3">
        <v>1</v>
      </c>
      <c r="FH102" s="3">
        <v>2</v>
      </c>
      <c r="FI102" s="3">
        <v>2</v>
      </c>
      <c r="FJ102" s="3">
        <v>2</v>
      </c>
      <c r="FK102" s="3">
        <v>1</v>
      </c>
      <c r="FL102" s="3">
        <v>1</v>
      </c>
      <c r="FM102" s="3">
        <v>1</v>
      </c>
      <c r="FN102" s="3">
        <v>2</v>
      </c>
      <c r="FO102" s="3">
        <v>1</v>
      </c>
      <c r="FP102" s="3">
        <v>1</v>
      </c>
      <c r="FQ102" s="16">
        <v>1.1000000000000001</v>
      </c>
      <c r="FR102" s="102"/>
      <c r="GA102" s="34"/>
    </row>
    <row r="103" spans="1:183" x14ac:dyDescent="0.25">
      <c r="A103" s="6"/>
      <c r="B103" s="144" t="s">
        <v>403</v>
      </c>
      <c r="C103" s="1" t="s">
        <v>402</v>
      </c>
      <c r="D103" s="141">
        <f t="shared" si="27"/>
        <v>0</v>
      </c>
      <c r="E103" s="141">
        <v>0</v>
      </c>
      <c r="F103" s="141">
        <v>0</v>
      </c>
      <c r="G103" s="141">
        <v>0</v>
      </c>
      <c r="H103" s="141">
        <v>0</v>
      </c>
      <c r="P103" s="77"/>
      <c r="Q103" s="159">
        <f t="shared" si="21"/>
        <v>0.3</v>
      </c>
      <c r="R103" s="141">
        <v>0</v>
      </c>
      <c r="S103" s="141">
        <v>2</v>
      </c>
      <c r="T103" s="141">
        <v>1</v>
      </c>
      <c r="U103" s="141">
        <v>0</v>
      </c>
      <c r="V103" s="141">
        <v>0</v>
      </c>
      <c r="W103" s="141">
        <v>0</v>
      </c>
      <c r="X103" s="141">
        <v>0</v>
      </c>
      <c r="Y103" s="141">
        <v>0</v>
      </c>
      <c r="Z103" s="141">
        <v>0</v>
      </c>
      <c r="AA103" s="141">
        <v>0</v>
      </c>
      <c r="AB103" s="141">
        <v>0</v>
      </c>
      <c r="AC103" s="154">
        <v>0</v>
      </c>
      <c r="AD103" s="159">
        <v>1.1000000000000001</v>
      </c>
      <c r="AE103" s="141">
        <v>0</v>
      </c>
      <c r="AF103" s="141">
        <v>1</v>
      </c>
      <c r="AG103" s="141">
        <v>1</v>
      </c>
      <c r="AH103" s="141">
        <v>2</v>
      </c>
      <c r="AI103" s="141">
        <v>1</v>
      </c>
      <c r="AJ103" s="141">
        <v>1</v>
      </c>
      <c r="AK103" s="141">
        <v>0</v>
      </c>
      <c r="AL103" s="141">
        <v>1</v>
      </c>
      <c r="AM103" s="141">
        <v>1</v>
      </c>
      <c r="AN103" s="141">
        <v>1</v>
      </c>
      <c r="AO103" s="141">
        <v>1</v>
      </c>
      <c r="AP103" s="141">
        <v>1</v>
      </c>
      <c r="AQ103" s="89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90"/>
      <c r="BD103" s="129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90"/>
      <c r="BQ103" s="113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91"/>
      <c r="CE103" s="87"/>
      <c r="CF103" s="87"/>
      <c r="CG103" s="87"/>
      <c r="CH103" s="87"/>
      <c r="CI103" s="87"/>
      <c r="CJ103" s="87"/>
      <c r="CK103" s="87"/>
      <c r="CL103" s="92"/>
      <c r="CM103" s="92"/>
      <c r="CN103" s="92"/>
      <c r="CO103" s="87"/>
      <c r="CP103" s="87"/>
      <c r="CQ103" s="89"/>
      <c r="CR103" s="87"/>
      <c r="CS103" s="87"/>
      <c r="CT103" s="87"/>
      <c r="CU103" s="87"/>
      <c r="CV103" s="87"/>
      <c r="CW103" s="87"/>
      <c r="CX103" s="87"/>
      <c r="CY103" s="87"/>
      <c r="CZ103" s="87"/>
      <c r="DA103" s="87"/>
      <c r="DB103" s="87"/>
      <c r="DC103" s="87"/>
      <c r="DD103" s="89"/>
      <c r="DE103" s="87"/>
      <c r="DF103" s="87"/>
      <c r="DG103" s="87"/>
      <c r="DH103" s="87"/>
      <c r="DI103" s="87"/>
      <c r="DJ103" s="87"/>
      <c r="DK103" s="87"/>
      <c r="DL103" s="87"/>
      <c r="DM103" s="87"/>
      <c r="DN103" s="87"/>
      <c r="DO103" s="87"/>
      <c r="DP103" s="90"/>
      <c r="DQ103" s="89"/>
      <c r="DR103" s="87"/>
      <c r="DS103" s="87"/>
      <c r="DT103" s="87"/>
      <c r="DU103" s="87"/>
      <c r="DV103" s="87"/>
      <c r="DW103" s="87"/>
      <c r="DX103" s="87"/>
      <c r="DY103" s="87"/>
      <c r="DZ103" s="87"/>
      <c r="EA103" s="87"/>
      <c r="EB103" s="87"/>
      <c r="EC103" s="87"/>
      <c r="ED103" s="89"/>
      <c r="EE103" s="87"/>
      <c r="EF103" s="87"/>
      <c r="EG103" s="87"/>
      <c r="EH103" s="87"/>
      <c r="EI103" s="87"/>
      <c r="EJ103" s="87"/>
      <c r="EK103" s="87"/>
      <c r="EL103" s="87"/>
      <c r="EM103" s="87"/>
      <c r="EN103" s="87"/>
      <c r="EO103" s="87"/>
      <c r="EP103" s="87"/>
      <c r="EQ103" s="89"/>
      <c r="ER103" s="87"/>
      <c r="ES103" s="87"/>
      <c r="ET103" s="87"/>
      <c r="EU103" s="87"/>
      <c r="EV103" s="87"/>
      <c r="EW103" s="87"/>
      <c r="EX103" s="87"/>
      <c r="EY103" s="87"/>
      <c r="EZ103" s="87"/>
      <c r="FA103" s="87"/>
      <c r="FB103" s="87"/>
      <c r="FC103" s="87"/>
      <c r="FD103" s="97"/>
      <c r="FE103" s="87"/>
      <c r="FF103" s="87"/>
      <c r="FG103" s="87"/>
      <c r="FH103" s="87"/>
      <c r="FI103" s="87"/>
      <c r="FJ103" s="87"/>
      <c r="FK103" s="87"/>
      <c r="FL103" s="87"/>
      <c r="FM103" s="87"/>
      <c r="FN103" s="87"/>
      <c r="FO103" s="87"/>
      <c r="FP103" s="87"/>
      <c r="FQ103" s="91"/>
      <c r="FR103" s="102"/>
      <c r="GA103" s="34"/>
    </row>
    <row r="104" spans="1:183" x14ac:dyDescent="0.25">
      <c r="A104" s="6" t="s">
        <v>165</v>
      </c>
      <c r="B104" s="25" t="s">
        <v>167</v>
      </c>
      <c r="C104" s="1" t="s">
        <v>168</v>
      </c>
      <c r="D104" s="141">
        <f t="shared" si="27"/>
        <v>1.9975000000000001</v>
      </c>
      <c r="E104" s="141">
        <v>4.33</v>
      </c>
      <c r="F104" s="141">
        <v>1.66</v>
      </c>
      <c r="G104" s="141">
        <v>1</v>
      </c>
      <c r="H104" s="141">
        <v>1</v>
      </c>
      <c r="P104" s="77"/>
      <c r="Q104" s="159">
        <f t="shared" si="21"/>
        <v>4.9010000000000007</v>
      </c>
      <c r="R104" s="141">
        <v>3.66</v>
      </c>
      <c r="S104" s="141">
        <v>3.66</v>
      </c>
      <c r="T104" s="141">
        <v>3.33</v>
      </c>
      <c r="U104" s="141">
        <v>3.33</v>
      </c>
      <c r="V104" s="141">
        <v>2.46</v>
      </c>
      <c r="W104" s="141">
        <v>3.46</v>
      </c>
      <c r="X104" s="141">
        <v>3.46</v>
      </c>
      <c r="Y104" s="141">
        <v>4.66</v>
      </c>
      <c r="Z104" s="141">
        <v>6.33</v>
      </c>
      <c r="AA104" s="141">
        <v>11.66</v>
      </c>
      <c r="AB104" s="141">
        <v>1</v>
      </c>
      <c r="AC104" s="154">
        <v>2</v>
      </c>
      <c r="AD104" s="159">
        <v>2.7990000000000004</v>
      </c>
      <c r="AE104" s="141">
        <v>1</v>
      </c>
      <c r="AF104" s="141">
        <v>3</v>
      </c>
      <c r="AG104" s="141">
        <v>0.46</v>
      </c>
      <c r="AH104" s="141">
        <v>2.46</v>
      </c>
      <c r="AI104" s="141">
        <v>1.58</v>
      </c>
      <c r="AJ104" s="141">
        <v>1.58</v>
      </c>
      <c r="AK104" s="141">
        <v>1.58</v>
      </c>
      <c r="AL104" s="141">
        <v>3</v>
      </c>
      <c r="AM104" s="141">
        <v>4</v>
      </c>
      <c r="AN104" s="141">
        <v>5</v>
      </c>
      <c r="AO104" s="141">
        <v>3</v>
      </c>
      <c r="AP104" s="141">
        <v>1.33</v>
      </c>
      <c r="AQ104" s="9">
        <f t="shared" si="22"/>
        <v>1.7689999999999997</v>
      </c>
      <c r="AR104" s="3">
        <v>1</v>
      </c>
      <c r="AS104" s="3">
        <v>0.69000000000000006</v>
      </c>
      <c r="AT104" s="3">
        <v>2</v>
      </c>
      <c r="AU104" s="3">
        <v>3</v>
      </c>
      <c r="AV104" s="3">
        <v>1</v>
      </c>
      <c r="AW104" s="3">
        <v>1</v>
      </c>
      <c r="AX104" s="3">
        <v>2</v>
      </c>
      <c r="AY104" s="3">
        <v>2</v>
      </c>
      <c r="AZ104" s="3">
        <v>3</v>
      </c>
      <c r="BA104" s="3">
        <v>2</v>
      </c>
      <c r="BB104" s="3">
        <v>0</v>
      </c>
      <c r="BC104" s="3">
        <v>0</v>
      </c>
      <c r="BD104" s="117">
        <v>1.331</v>
      </c>
      <c r="BE104" s="3">
        <v>1.33</v>
      </c>
      <c r="BF104" s="3">
        <v>1.33</v>
      </c>
      <c r="BG104" s="3">
        <v>1.33</v>
      </c>
      <c r="BH104" s="3">
        <v>1.33</v>
      </c>
      <c r="BI104" s="3">
        <v>1.33</v>
      </c>
      <c r="BJ104" s="3">
        <v>1.33</v>
      </c>
      <c r="BK104" s="3">
        <v>1.33</v>
      </c>
      <c r="BL104" s="3">
        <v>2</v>
      </c>
      <c r="BM104" s="3">
        <v>1</v>
      </c>
      <c r="BN104" s="3">
        <v>1</v>
      </c>
      <c r="BO104" s="3">
        <v>0</v>
      </c>
      <c r="BP104" s="20">
        <v>0</v>
      </c>
      <c r="BQ104" s="65">
        <v>1.3359999999999999</v>
      </c>
      <c r="BR104" s="3">
        <v>3</v>
      </c>
      <c r="BS104" s="3">
        <v>3</v>
      </c>
      <c r="BT104" s="3">
        <v>3</v>
      </c>
      <c r="BU104" s="3">
        <v>1</v>
      </c>
      <c r="BV104" s="3">
        <v>0.79</v>
      </c>
      <c r="BW104" s="3">
        <v>0.79</v>
      </c>
      <c r="BX104" s="3">
        <v>0.79</v>
      </c>
      <c r="BY104" s="3">
        <v>0.33</v>
      </c>
      <c r="BZ104" s="3">
        <v>0.33</v>
      </c>
      <c r="CA104" s="3">
        <v>0.33</v>
      </c>
      <c r="CB104" s="3">
        <v>0</v>
      </c>
      <c r="CC104" s="3">
        <v>0</v>
      </c>
      <c r="CD104" s="16">
        <v>1.5529999999999999</v>
      </c>
      <c r="CE104" s="3">
        <v>1</v>
      </c>
      <c r="CF104" s="3">
        <v>1</v>
      </c>
      <c r="CG104" s="3">
        <v>1</v>
      </c>
      <c r="CH104" s="3">
        <v>1</v>
      </c>
      <c r="CI104" s="3">
        <v>1</v>
      </c>
      <c r="CJ104" s="3">
        <v>2</v>
      </c>
      <c r="CK104" s="3">
        <v>2</v>
      </c>
      <c r="CL104" s="66">
        <v>2.15</v>
      </c>
      <c r="CM104" s="66">
        <v>2.19</v>
      </c>
      <c r="CN104" s="66">
        <v>2.19</v>
      </c>
      <c r="CO104" s="3">
        <v>0</v>
      </c>
      <c r="CP104" s="3">
        <v>0</v>
      </c>
      <c r="CQ104" s="9">
        <v>0.71199999999999997</v>
      </c>
      <c r="CR104" s="3">
        <v>0.53</v>
      </c>
      <c r="CS104" s="3">
        <v>0.53</v>
      </c>
      <c r="CT104" s="3">
        <v>0.53</v>
      </c>
      <c r="CU104" s="3">
        <v>1.53</v>
      </c>
      <c r="CV104" s="3">
        <v>1</v>
      </c>
      <c r="CW104" s="3">
        <v>1</v>
      </c>
      <c r="CX104" s="3">
        <v>0</v>
      </c>
      <c r="CY104" s="3">
        <v>0</v>
      </c>
      <c r="CZ104" s="3">
        <v>1</v>
      </c>
      <c r="DA104" s="3">
        <v>1</v>
      </c>
      <c r="DB104" s="3">
        <v>0</v>
      </c>
      <c r="DC104" s="3">
        <v>0</v>
      </c>
      <c r="DD104" s="9">
        <v>3.9</v>
      </c>
      <c r="DE104" s="3">
        <v>4</v>
      </c>
      <c r="DF104" s="3">
        <v>4</v>
      </c>
      <c r="DG104" s="3">
        <v>5</v>
      </c>
      <c r="DH104" s="3">
        <v>4</v>
      </c>
      <c r="DI104" s="3">
        <v>5</v>
      </c>
      <c r="DJ104" s="3">
        <v>4</v>
      </c>
      <c r="DK104" s="3">
        <v>5</v>
      </c>
      <c r="DL104" s="3">
        <v>3</v>
      </c>
      <c r="DM104" s="3">
        <v>3</v>
      </c>
      <c r="DN104" s="3">
        <v>2</v>
      </c>
      <c r="DO104" s="3">
        <v>0</v>
      </c>
      <c r="DP104" s="20">
        <v>0</v>
      </c>
      <c r="DQ104" s="9">
        <v>5.7</v>
      </c>
      <c r="DR104" s="3">
        <v>4</v>
      </c>
      <c r="DS104" s="3">
        <v>5</v>
      </c>
      <c r="DT104" s="3">
        <v>5</v>
      </c>
      <c r="DU104" s="3">
        <v>6</v>
      </c>
      <c r="DV104" s="3">
        <v>8</v>
      </c>
      <c r="DW104" s="3">
        <v>7</v>
      </c>
      <c r="DX104" s="3">
        <v>7</v>
      </c>
      <c r="DY104" s="3">
        <v>5</v>
      </c>
      <c r="DZ104" s="3">
        <v>5</v>
      </c>
      <c r="EA104" s="3">
        <v>5</v>
      </c>
      <c r="EB104" s="3">
        <v>0</v>
      </c>
      <c r="EC104" s="3">
        <v>0</v>
      </c>
      <c r="ED104" s="9">
        <f t="shared" si="28"/>
        <v>1.7990000000000002</v>
      </c>
      <c r="EE104" s="3">
        <v>1</v>
      </c>
      <c r="EF104" s="3">
        <v>1</v>
      </c>
      <c r="EG104" s="3">
        <v>2</v>
      </c>
      <c r="EH104" s="3">
        <v>1.99</v>
      </c>
      <c r="EI104" s="3">
        <v>2</v>
      </c>
      <c r="EJ104" s="3">
        <v>2</v>
      </c>
      <c r="EK104" s="3">
        <v>2</v>
      </c>
      <c r="EL104" s="3">
        <v>2</v>
      </c>
      <c r="EM104" s="3">
        <v>2</v>
      </c>
      <c r="EN104" s="3">
        <v>2</v>
      </c>
      <c r="EO104" s="3">
        <v>0</v>
      </c>
      <c r="EP104" s="3">
        <v>0</v>
      </c>
      <c r="EQ104" s="9">
        <f t="shared" si="26"/>
        <v>1.0660000000000001</v>
      </c>
      <c r="ER104" s="3"/>
      <c r="ES104" s="3"/>
      <c r="ET104" s="3">
        <v>0.33</v>
      </c>
      <c r="EU104" s="3">
        <v>1.33</v>
      </c>
      <c r="EV104" s="3">
        <v>1</v>
      </c>
      <c r="EW104" s="3">
        <v>1</v>
      </c>
      <c r="EX104" s="3">
        <v>1</v>
      </c>
      <c r="EY104" s="3">
        <v>3</v>
      </c>
      <c r="EZ104" s="3">
        <v>2</v>
      </c>
      <c r="FA104" s="3">
        <v>1</v>
      </c>
      <c r="FB104" s="3">
        <v>0</v>
      </c>
      <c r="FC104" s="3">
        <v>0</v>
      </c>
      <c r="FD104" s="97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91"/>
      <c r="FR104" s="102"/>
      <c r="GA104" s="34"/>
    </row>
    <row r="105" spans="1:183" x14ac:dyDescent="0.25">
      <c r="A105" s="6" t="s">
        <v>204</v>
      </c>
      <c r="B105" s="25" t="s">
        <v>218</v>
      </c>
      <c r="C105" s="1" t="s">
        <v>217</v>
      </c>
      <c r="D105" s="141">
        <f t="shared" si="27"/>
        <v>13</v>
      </c>
      <c r="E105" s="141">
        <v>11</v>
      </c>
      <c r="F105" s="141">
        <v>12</v>
      </c>
      <c r="G105" s="141">
        <v>14</v>
      </c>
      <c r="H105" s="141">
        <v>15</v>
      </c>
      <c r="P105" s="77"/>
      <c r="Q105" s="159">
        <f t="shared" si="21"/>
        <v>14.896999999999997</v>
      </c>
      <c r="R105" s="141">
        <v>11</v>
      </c>
      <c r="S105" s="141">
        <v>15</v>
      </c>
      <c r="T105" s="141">
        <v>16</v>
      </c>
      <c r="U105" s="141">
        <v>19</v>
      </c>
      <c r="V105" s="141">
        <v>14.99</v>
      </c>
      <c r="W105" s="141">
        <v>15.99</v>
      </c>
      <c r="X105" s="141">
        <v>14.99</v>
      </c>
      <c r="Y105" s="141">
        <v>14</v>
      </c>
      <c r="Z105" s="141">
        <v>14</v>
      </c>
      <c r="AA105" s="141">
        <v>14</v>
      </c>
      <c r="AB105" s="141">
        <v>0</v>
      </c>
      <c r="AC105" s="154">
        <v>0</v>
      </c>
      <c r="AD105" s="159">
        <v>14.6</v>
      </c>
      <c r="AE105" s="141">
        <v>13</v>
      </c>
      <c r="AF105" s="141">
        <v>11</v>
      </c>
      <c r="AG105" s="141">
        <v>16</v>
      </c>
      <c r="AH105" s="141">
        <v>17</v>
      </c>
      <c r="AI105" s="141">
        <v>17</v>
      </c>
      <c r="AJ105" s="141">
        <v>18</v>
      </c>
      <c r="AK105" s="141">
        <v>16</v>
      </c>
      <c r="AL105" s="141">
        <v>14</v>
      </c>
      <c r="AM105" s="141">
        <v>12</v>
      </c>
      <c r="AN105" s="141">
        <v>12</v>
      </c>
      <c r="AO105" s="141">
        <v>0</v>
      </c>
      <c r="AP105" s="141">
        <v>0</v>
      </c>
      <c r="AQ105" s="9">
        <f t="shared" si="22"/>
        <v>9.6999999999999993</v>
      </c>
      <c r="AR105" s="3">
        <v>8</v>
      </c>
      <c r="AS105" s="3">
        <v>6</v>
      </c>
      <c r="AT105" s="3">
        <v>9</v>
      </c>
      <c r="AU105" s="3">
        <v>7</v>
      </c>
      <c r="AV105" s="3">
        <v>7</v>
      </c>
      <c r="AW105" s="3">
        <v>11</v>
      </c>
      <c r="AX105" s="3">
        <v>11</v>
      </c>
      <c r="AY105" s="3">
        <v>13</v>
      </c>
      <c r="AZ105" s="3">
        <v>13</v>
      </c>
      <c r="BA105" s="3">
        <v>12</v>
      </c>
      <c r="BB105" s="3">
        <v>0</v>
      </c>
      <c r="BC105" s="3">
        <v>0</v>
      </c>
      <c r="BD105" s="117">
        <v>6.7</v>
      </c>
      <c r="BE105" s="3">
        <v>6</v>
      </c>
      <c r="BF105" s="3">
        <v>5</v>
      </c>
      <c r="BG105" s="3">
        <v>9</v>
      </c>
      <c r="BH105" s="3">
        <v>7</v>
      </c>
      <c r="BI105" s="3">
        <v>6</v>
      </c>
      <c r="BJ105" s="3">
        <v>9</v>
      </c>
      <c r="BK105" s="3">
        <v>8</v>
      </c>
      <c r="BL105" s="3">
        <v>6</v>
      </c>
      <c r="BM105" s="3">
        <v>7</v>
      </c>
      <c r="BN105" s="3">
        <v>4</v>
      </c>
      <c r="BO105" s="3">
        <v>0</v>
      </c>
      <c r="BP105" s="20">
        <v>0</v>
      </c>
      <c r="BQ105" s="65">
        <v>5.2</v>
      </c>
      <c r="BR105" s="3">
        <v>8</v>
      </c>
      <c r="BS105" s="3">
        <v>8</v>
      </c>
      <c r="BT105" s="3">
        <v>5</v>
      </c>
      <c r="BU105" s="3">
        <v>4</v>
      </c>
      <c r="BV105" s="3">
        <v>5</v>
      </c>
      <c r="BW105" s="3">
        <v>4</v>
      </c>
      <c r="BX105" s="3">
        <v>4</v>
      </c>
      <c r="BY105" s="3">
        <v>4</v>
      </c>
      <c r="BZ105" s="3">
        <v>4</v>
      </c>
      <c r="CA105" s="3">
        <v>6</v>
      </c>
      <c r="CB105" s="3">
        <v>0</v>
      </c>
      <c r="CC105" s="3">
        <v>0</v>
      </c>
      <c r="CD105" s="16">
        <v>13.1</v>
      </c>
      <c r="CE105" s="3">
        <v>13</v>
      </c>
      <c r="CF105" s="3">
        <v>12</v>
      </c>
      <c r="CG105" s="3">
        <v>11</v>
      </c>
      <c r="CH105" s="3">
        <v>13</v>
      </c>
      <c r="CI105" s="3">
        <v>12</v>
      </c>
      <c r="CJ105" s="3">
        <v>14</v>
      </c>
      <c r="CK105" s="3">
        <v>14</v>
      </c>
      <c r="CL105" s="66">
        <v>14</v>
      </c>
      <c r="CM105" s="66">
        <v>14</v>
      </c>
      <c r="CN105" s="66">
        <v>14</v>
      </c>
      <c r="CO105" s="3">
        <v>0</v>
      </c>
      <c r="CP105" s="3">
        <v>0</v>
      </c>
      <c r="CQ105" s="9">
        <v>13.9</v>
      </c>
      <c r="CR105" s="3">
        <v>10</v>
      </c>
      <c r="CS105" s="3">
        <v>11</v>
      </c>
      <c r="CT105" s="3">
        <v>12</v>
      </c>
      <c r="CU105" s="3">
        <v>11</v>
      </c>
      <c r="CV105" s="3">
        <v>15</v>
      </c>
      <c r="CW105" s="3">
        <v>16</v>
      </c>
      <c r="CX105" s="3">
        <v>16</v>
      </c>
      <c r="CY105" s="3">
        <v>16</v>
      </c>
      <c r="CZ105" s="3">
        <v>16</v>
      </c>
      <c r="DA105" s="3">
        <v>16</v>
      </c>
      <c r="DB105" s="3">
        <v>0</v>
      </c>
      <c r="DC105" s="3">
        <v>0</v>
      </c>
      <c r="DD105" s="9">
        <v>12.5</v>
      </c>
      <c r="DE105" s="3">
        <v>10</v>
      </c>
      <c r="DF105" s="3">
        <v>3</v>
      </c>
      <c r="DG105" s="3">
        <v>12</v>
      </c>
      <c r="DH105" s="3">
        <v>15</v>
      </c>
      <c r="DI105" s="3">
        <v>15</v>
      </c>
      <c r="DJ105" s="3">
        <v>19</v>
      </c>
      <c r="DK105" s="3">
        <v>15</v>
      </c>
      <c r="DL105" s="3">
        <v>15</v>
      </c>
      <c r="DM105" s="3">
        <v>10</v>
      </c>
      <c r="DN105" s="3">
        <v>11</v>
      </c>
      <c r="DO105" s="3">
        <v>0</v>
      </c>
      <c r="DP105" s="20">
        <v>0</v>
      </c>
      <c r="DQ105" s="9">
        <v>5.2</v>
      </c>
      <c r="DR105" s="3">
        <v>4</v>
      </c>
      <c r="DS105" s="3">
        <v>6</v>
      </c>
      <c r="DT105" s="3">
        <v>7</v>
      </c>
      <c r="DU105" s="3">
        <v>6</v>
      </c>
      <c r="DV105" s="3">
        <v>3</v>
      </c>
      <c r="DW105" s="3">
        <v>3</v>
      </c>
      <c r="DX105" s="3">
        <v>4</v>
      </c>
      <c r="DY105" s="3">
        <v>5</v>
      </c>
      <c r="DZ105" s="3">
        <v>6</v>
      </c>
      <c r="EA105" s="3">
        <v>8</v>
      </c>
      <c r="EB105" s="3">
        <v>0</v>
      </c>
      <c r="EC105" s="3">
        <v>0</v>
      </c>
      <c r="ED105" s="9">
        <f t="shared" si="28"/>
        <v>0.5</v>
      </c>
      <c r="EE105" s="3"/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1</v>
      </c>
      <c r="EM105" s="3">
        <v>2</v>
      </c>
      <c r="EN105" s="3">
        <v>2</v>
      </c>
      <c r="EO105" s="3">
        <v>0</v>
      </c>
      <c r="EP105" s="3">
        <v>0</v>
      </c>
      <c r="EQ105" s="89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97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91"/>
      <c r="FR105" s="102"/>
      <c r="GA105" s="34"/>
    </row>
    <row r="106" spans="1:183" x14ac:dyDescent="0.25">
      <c r="A106" s="6" t="s">
        <v>159</v>
      </c>
      <c r="B106" s="68" t="s">
        <v>21</v>
      </c>
      <c r="C106" s="1" t="s">
        <v>22</v>
      </c>
      <c r="D106" s="141">
        <f t="shared" si="27"/>
        <v>1.5</v>
      </c>
      <c r="E106" s="141">
        <v>0</v>
      </c>
      <c r="F106" s="141">
        <v>2</v>
      </c>
      <c r="G106" s="141">
        <v>2</v>
      </c>
      <c r="H106" s="141">
        <v>2</v>
      </c>
      <c r="P106" s="77"/>
      <c r="Q106" s="159">
        <f t="shared" si="21"/>
        <v>4.9000000000000004</v>
      </c>
      <c r="R106" s="141">
        <v>2</v>
      </c>
      <c r="S106" s="141">
        <v>3</v>
      </c>
      <c r="T106" s="141">
        <v>4</v>
      </c>
      <c r="U106" s="141">
        <v>6</v>
      </c>
      <c r="V106" s="141">
        <v>6</v>
      </c>
      <c r="W106" s="141">
        <v>6</v>
      </c>
      <c r="X106" s="141">
        <v>7</v>
      </c>
      <c r="Y106" s="141">
        <v>5</v>
      </c>
      <c r="Z106" s="141">
        <v>4</v>
      </c>
      <c r="AA106" s="141">
        <v>3</v>
      </c>
      <c r="AB106" s="141">
        <v>2</v>
      </c>
      <c r="AC106" s="154">
        <v>1</v>
      </c>
      <c r="AD106" s="159">
        <v>2.8</v>
      </c>
      <c r="AE106" s="141">
        <v>0</v>
      </c>
      <c r="AF106" s="141">
        <v>1</v>
      </c>
      <c r="AG106" s="141">
        <v>3</v>
      </c>
      <c r="AH106" s="141">
        <v>3</v>
      </c>
      <c r="AI106" s="141">
        <v>3</v>
      </c>
      <c r="AJ106" s="141">
        <v>3</v>
      </c>
      <c r="AK106" s="141">
        <v>3</v>
      </c>
      <c r="AL106" s="141">
        <v>4</v>
      </c>
      <c r="AM106" s="141">
        <v>3</v>
      </c>
      <c r="AN106" s="141">
        <v>3</v>
      </c>
      <c r="AO106" s="141">
        <v>2</v>
      </c>
      <c r="AP106" s="141">
        <v>0</v>
      </c>
      <c r="AQ106" s="9">
        <f t="shared" si="22"/>
        <v>4</v>
      </c>
      <c r="AR106" s="3">
        <v>2</v>
      </c>
      <c r="AS106" s="3">
        <v>1</v>
      </c>
      <c r="AT106" s="3">
        <v>5</v>
      </c>
      <c r="AU106" s="3">
        <v>5</v>
      </c>
      <c r="AV106" s="3">
        <v>5</v>
      </c>
      <c r="AW106" s="3">
        <v>4</v>
      </c>
      <c r="AX106" s="3">
        <v>5</v>
      </c>
      <c r="AY106" s="3">
        <v>4</v>
      </c>
      <c r="AZ106" s="3">
        <v>3</v>
      </c>
      <c r="BA106" s="3">
        <v>3</v>
      </c>
      <c r="BB106" s="3">
        <v>2</v>
      </c>
      <c r="BC106" s="3">
        <v>1</v>
      </c>
      <c r="BD106" s="117">
        <v>2.9</v>
      </c>
      <c r="BE106" s="3">
        <v>3</v>
      </c>
      <c r="BF106" s="3">
        <v>2</v>
      </c>
      <c r="BG106" s="3">
        <v>2</v>
      </c>
      <c r="BH106" s="3">
        <v>4</v>
      </c>
      <c r="BI106" s="3">
        <v>5</v>
      </c>
      <c r="BJ106" s="3">
        <v>2</v>
      </c>
      <c r="BK106" s="3">
        <v>2</v>
      </c>
      <c r="BL106" s="3">
        <v>2</v>
      </c>
      <c r="BM106" s="3">
        <v>3</v>
      </c>
      <c r="BN106" s="3">
        <v>2</v>
      </c>
      <c r="BO106" s="3">
        <v>2</v>
      </c>
      <c r="BP106" s="20">
        <v>0</v>
      </c>
      <c r="BQ106" s="65">
        <v>4.4000000000000004</v>
      </c>
      <c r="BR106" s="3">
        <v>5</v>
      </c>
      <c r="BS106" s="3">
        <v>5</v>
      </c>
      <c r="BT106" s="3">
        <v>6</v>
      </c>
      <c r="BU106" s="3">
        <v>3</v>
      </c>
      <c r="BV106" s="3">
        <v>4</v>
      </c>
      <c r="BW106" s="3">
        <v>3</v>
      </c>
      <c r="BX106" s="3">
        <v>4</v>
      </c>
      <c r="BY106" s="3">
        <v>3</v>
      </c>
      <c r="BZ106" s="3">
        <v>3</v>
      </c>
      <c r="CA106" s="3">
        <v>4</v>
      </c>
      <c r="CB106" s="3">
        <v>2</v>
      </c>
      <c r="CC106" s="3">
        <v>2</v>
      </c>
      <c r="CD106" s="16">
        <v>3</v>
      </c>
      <c r="CE106" s="3">
        <v>2</v>
      </c>
      <c r="CF106" s="3">
        <v>4</v>
      </c>
      <c r="CG106" s="3">
        <v>1</v>
      </c>
      <c r="CH106" s="3">
        <v>2</v>
      </c>
      <c r="CI106" s="3">
        <v>3</v>
      </c>
      <c r="CJ106" s="3">
        <v>2</v>
      </c>
      <c r="CK106" s="3">
        <v>4</v>
      </c>
      <c r="CL106" s="66">
        <v>2.5</v>
      </c>
      <c r="CM106" s="66">
        <v>2.5</v>
      </c>
      <c r="CN106" s="66">
        <v>2</v>
      </c>
      <c r="CO106" s="3">
        <v>3</v>
      </c>
      <c r="CP106" s="3">
        <v>2</v>
      </c>
      <c r="CQ106" s="9">
        <v>4.3</v>
      </c>
      <c r="CR106" s="3">
        <v>3</v>
      </c>
      <c r="CS106" s="3">
        <v>3</v>
      </c>
      <c r="CT106" s="3">
        <v>4</v>
      </c>
      <c r="CU106" s="3">
        <v>5</v>
      </c>
      <c r="CV106" s="3">
        <v>4</v>
      </c>
      <c r="CW106" s="3">
        <v>4</v>
      </c>
      <c r="CX106" s="3">
        <v>4</v>
      </c>
      <c r="CY106" s="3">
        <v>5</v>
      </c>
      <c r="CZ106" s="3">
        <v>5</v>
      </c>
      <c r="DA106" s="3">
        <v>4</v>
      </c>
      <c r="DB106" s="3">
        <v>2</v>
      </c>
      <c r="DC106" s="3">
        <v>0</v>
      </c>
      <c r="DD106" s="9">
        <v>1.02</v>
      </c>
      <c r="DE106" s="3">
        <v>0.6</v>
      </c>
      <c r="DF106" s="3">
        <v>0.6</v>
      </c>
      <c r="DG106" s="3">
        <v>0.6</v>
      </c>
      <c r="DH106" s="3">
        <v>1.6</v>
      </c>
      <c r="DI106" s="3">
        <v>0.6</v>
      </c>
      <c r="DJ106" s="3">
        <v>0.6</v>
      </c>
      <c r="DK106" s="3">
        <v>1.6</v>
      </c>
      <c r="DL106" s="3">
        <v>1</v>
      </c>
      <c r="DM106" s="3">
        <v>1</v>
      </c>
      <c r="DN106" s="3">
        <v>1</v>
      </c>
      <c r="DO106" s="3">
        <v>0</v>
      </c>
      <c r="DP106" s="20">
        <v>1</v>
      </c>
      <c r="DQ106" s="9">
        <v>4.5</v>
      </c>
      <c r="DR106" s="3">
        <v>4</v>
      </c>
      <c r="DS106" s="3">
        <v>5</v>
      </c>
      <c r="DT106" s="3">
        <v>3</v>
      </c>
      <c r="DU106" s="3">
        <v>4</v>
      </c>
      <c r="DV106" s="3">
        <v>5</v>
      </c>
      <c r="DW106" s="3">
        <v>4</v>
      </c>
      <c r="DX106" s="3">
        <v>7</v>
      </c>
      <c r="DY106" s="3">
        <v>6</v>
      </c>
      <c r="DZ106" s="3">
        <v>4</v>
      </c>
      <c r="EA106" s="3">
        <v>2</v>
      </c>
      <c r="EB106" s="3">
        <v>0</v>
      </c>
      <c r="EC106" s="3">
        <v>1</v>
      </c>
      <c r="ED106" s="9">
        <f t="shared" si="28"/>
        <v>6.4</v>
      </c>
      <c r="EE106" s="3">
        <v>3</v>
      </c>
      <c r="EF106" s="3">
        <v>4</v>
      </c>
      <c r="EG106" s="3">
        <v>7</v>
      </c>
      <c r="EH106" s="3">
        <v>7</v>
      </c>
      <c r="EI106" s="3">
        <v>8</v>
      </c>
      <c r="EJ106" s="3">
        <v>8</v>
      </c>
      <c r="EK106" s="3">
        <v>5</v>
      </c>
      <c r="EL106" s="3">
        <v>5</v>
      </c>
      <c r="EM106" s="3">
        <v>4</v>
      </c>
      <c r="EN106" s="3">
        <v>6</v>
      </c>
      <c r="EO106" s="3">
        <v>6</v>
      </c>
      <c r="EP106" s="3">
        <v>1</v>
      </c>
      <c r="EQ106" s="9">
        <f t="shared" si="26"/>
        <v>3.9</v>
      </c>
      <c r="ER106" s="3">
        <v>0</v>
      </c>
      <c r="ES106" s="3">
        <v>1</v>
      </c>
      <c r="ET106" s="3">
        <v>2</v>
      </c>
      <c r="EU106" s="3">
        <v>1</v>
      </c>
      <c r="EV106" s="3">
        <v>1</v>
      </c>
      <c r="EW106" s="3">
        <v>3</v>
      </c>
      <c r="EX106" s="3">
        <v>6</v>
      </c>
      <c r="EY106" s="3">
        <v>8</v>
      </c>
      <c r="EZ106" s="3">
        <v>7</v>
      </c>
      <c r="FA106" s="3">
        <v>7</v>
      </c>
      <c r="FB106" s="3">
        <v>1</v>
      </c>
      <c r="FC106" s="3">
        <v>2</v>
      </c>
      <c r="FD106" s="69">
        <f t="shared" si="9"/>
        <v>2.46</v>
      </c>
      <c r="FE106" s="3">
        <v>2</v>
      </c>
      <c r="FF106" s="3">
        <v>2</v>
      </c>
      <c r="FG106" s="3">
        <v>2</v>
      </c>
      <c r="FH106" s="3">
        <v>2</v>
      </c>
      <c r="FI106" s="3">
        <v>2</v>
      </c>
      <c r="FJ106" s="3">
        <v>3</v>
      </c>
      <c r="FK106" s="3">
        <v>5</v>
      </c>
      <c r="FL106" s="3">
        <v>2.6</v>
      </c>
      <c r="FM106" s="3">
        <v>2</v>
      </c>
      <c r="FN106" s="3">
        <v>0</v>
      </c>
      <c r="FO106" s="3">
        <v>1</v>
      </c>
      <c r="FP106" s="3">
        <v>1</v>
      </c>
      <c r="FQ106" s="16">
        <v>0.6</v>
      </c>
      <c r="FR106" s="102"/>
      <c r="GA106" s="34"/>
    </row>
    <row r="107" spans="1:183" x14ac:dyDescent="0.25">
      <c r="A107" s="6" t="s">
        <v>224</v>
      </c>
      <c r="B107" s="80" t="s">
        <v>223</v>
      </c>
      <c r="C107" s="1" t="s">
        <v>225</v>
      </c>
      <c r="D107" s="141">
        <f t="shared" si="27"/>
        <v>12.25</v>
      </c>
      <c r="E107" s="141">
        <v>10</v>
      </c>
      <c r="F107" s="141">
        <v>17</v>
      </c>
      <c r="G107" s="141">
        <v>11</v>
      </c>
      <c r="H107" s="141">
        <v>11</v>
      </c>
      <c r="P107" s="77"/>
      <c r="Q107" s="159">
        <f t="shared" si="21"/>
        <v>13.9</v>
      </c>
      <c r="R107" s="141">
        <v>5</v>
      </c>
      <c r="S107" s="141">
        <v>9</v>
      </c>
      <c r="T107" s="141">
        <v>11</v>
      </c>
      <c r="U107" s="141">
        <v>10</v>
      </c>
      <c r="V107" s="141">
        <v>12</v>
      </c>
      <c r="W107" s="141">
        <v>11</v>
      </c>
      <c r="X107" s="141">
        <v>14</v>
      </c>
      <c r="Y107" s="141">
        <v>14</v>
      </c>
      <c r="Z107" s="141">
        <v>13</v>
      </c>
      <c r="AA107" s="141">
        <v>12</v>
      </c>
      <c r="AB107" s="141">
        <v>14</v>
      </c>
      <c r="AC107" s="154">
        <v>14</v>
      </c>
      <c r="AD107" s="159">
        <v>6.8</v>
      </c>
      <c r="AE107" s="141">
        <v>4</v>
      </c>
      <c r="AF107" s="141">
        <v>1</v>
      </c>
      <c r="AG107" s="141">
        <v>4</v>
      </c>
      <c r="AH107" s="141">
        <v>3</v>
      </c>
      <c r="AI107" s="141">
        <v>5</v>
      </c>
      <c r="AJ107" s="141">
        <v>5</v>
      </c>
      <c r="AK107" s="141">
        <v>6</v>
      </c>
      <c r="AL107" s="141">
        <v>9</v>
      </c>
      <c r="AM107" s="141">
        <v>10</v>
      </c>
      <c r="AN107" s="141">
        <v>8</v>
      </c>
      <c r="AO107" s="141">
        <v>6</v>
      </c>
      <c r="AP107" s="141">
        <v>7</v>
      </c>
      <c r="AQ107" s="9">
        <f t="shared" si="22"/>
        <v>4.9000000000000004</v>
      </c>
      <c r="AR107" s="3">
        <v>2</v>
      </c>
      <c r="AS107" s="3">
        <v>2</v>
      </c>
      <c r="AT107" s="3">
        <v>2</v>
      </c>
      <c r="AU107" s="3">
        <v>6</v>
      </c>
      <c r="AV107" s="3">
        <v>5</v>
      </c>
      <c r="AW107" s="3">
        <v>7</v>
      </c>
      <c r="AX107" s="3">
        <v>3</v>
      </c>
      <c r="AY107" s="3">
        <v>4</v>
      </c>
      <c r="AZ107" s="3">
        <v>4</v>
      </c>
      <c r="BA107" s="3">
        <v>5</v>
      </c>
      <c r="BB107" s="3">
        <v>5</v>
      </c>
      <c r="BC107" s="3">
        <v>4</v>
      </c>
      <c r="BD107" s="117">
        <v>4.5999999999999996</v>
      </c>
      <c r="BE107" s="3">
        <v>2</v>
      </c>
      <c r="BF107" s="3">
        <v>1</v>
      </c>
      <c r="BG107" s="3">
        <v>4</v>
      </c>
      <c r="BH107" s="3">
        <v>4</v>
      </c>
      <c r="BI107" s="3">
        <v>3</v>
      </c>
      <c r="BJ107" s="3">
        <v>5</v>
      </c>
      <c r="BK107" s="3">
        <v>6</v>
      </c>
      <c r="BL107" s="3">
        <v>7</v>
      </c>
      <c r="BM107" s="3">
        <v>7</v>
      </c>
      <c r="BN107" s="3">
        <v>3</v>
      </c>
      <c r="BO107" s="3">
        <v>4</v>
      </c>
      <c r="BP107" s="20">
        <v>0</v>
      </c>
      <c r="BQ107" s="65">
        <v>7.9</v>
      </c>
      <c r="BR107" s="3">
        <v>8</v>
      </c>
      <c r="BS107" s="3">
        <v>11</v>
      </c>
      <c r="BT107" s="3">
        <v>7</v>
      </c>
      <c r="BU107" s="3">
        <v>6</v>
      </c>
      <c r="BV107" s="3">
        <v>6</v>
      </c>
      <c r="BW107" s="3">
        <v>6</v>
      </c>
      <c r="BX107" s="3">
        <v>6</v>
      </c>
      <c r="BY107" s="3">
        <v>6</v>
      </c>
      <c r="BZ107" s="3">
        <v>8</v>
      </c>
      <c r="CA107" s="3">
        <v>7</v>
      </c>
      <c r="CB107" s="3">
        <v>5</v>
      </c>
      <c r="CC107" s="3">
        <v>3</v>
      </c>
      <c r="CD107" s="16">
        <v>12.038</v>
      </c>
      <c r="CE107" s="3">
        <v>10</v>
      </c>
      <c r="CF107" s="3">
        <v>12</v>
      </c>
      <c r="CG107" s="3">
        <v>13</v>
      </c>
      <c r="CH107" s="3">
        <v>15</v>
      </c>
      <c r="CI107" s="3">
        <v>8</v>
      </c>
      <c r="CJ107" s="3">
        <v>14</v>
      </c>
      <c r="CK107" s="3">
        <v>12</v>
      </c>
      <c r="CL107" s="66">
        <v>8.75</v>
      </c>
      <c r="CM107" s="66">
        <v>12.25</v>
      </c>
      <c r="CN107" s="66">
        <v>11.38</v>
      </c>
      <c r="CO107" s="3">
        <v>2</v>
      </c>
      <c r="CP107" s="3">
        <v>2</v>
      </c>
      <c r="CQ107" s="9">
        <v>19.2</v>
      </c>
      <c r="CR107" s="3">
        <v>14</v>
      </c>
      <c r="CS107" s="3">
        <v>23</v>
      </c>
      <c r="CT107" s="3">
        <v>19</v>
      </c>
      <c r="CU107" s="3">
        <v>21</v>
      </c>
      <c r="CV107" s="3">
        <v>17</v>
      </c>
      <c r="CW107" s="3">
        <v>18</v>
      </c>
      <c r="CX107" s="3">
        <v>16</v>
      </c>
      <c r="CY107" s="3">
        <v>10</v>
      </c>
      <c r="CZ107" s="3">
        <v>14</v>
      </c>
      <c r="DA107" s="3">
        <v>13</v>
      </c>
      <c r="DB107" s="3">
        <v>12</v>
      </c>
      <c r="DC107" s="3">
        <v>15</v>
      </c>
      <c r="DD107" s="9">
        <v>18.899999999999999</v>
      </c>
      <c r="DE107" s="3">
        <v>11</v>
      </c>
      <c r="DF107" s="3">
        <v>15</v>
      </c>
      <c r="DG107" s="3">
        <v>17</v>
      </c>
      <c r="DH107" s="3">
        <v>15</v>
      </c>
      <c r="DI107" s="3">
        <v>15</v>
      </c>
      <c r="DJ107" s="3">
        <v>17</v>
      </c>
      <c r="DK107" s="3">
        <v>16</v>
      </c>
      <c r="DL107" s="3">
        <v>14</v>
      </c>
      <c r="DM107" s="3">
        <v>18</v>
      </c>
      <c r="DN107" s="3">
        <v>14</v>
      </c>
      <c r="DO107" s="3">
        <v>17</v>
      </c>
      <c r="DP107" s="20">
        <v>20</v>
      </c>
      <c r="DQ107" s="9">
        <v>14.2</v>
      </c>
      <c r="DR107" s="3">
        <v>0</v>
      </c>
      <c r="DS107" s="3">
        <v>0</v>
      </c>
      <c r="DT107" s="3">
        <v>0</v>
      </c>
      <c r="DU107" s="3">
        <v>5</v>
      </c>
      <c r="DV107" s="3">
        <v>2</v>
      </c>
      <c r="DW107" s="3">
        <v>18</v>
      </c>
      <c r="DX107" s="3">
        <v>23</v>
      </c>
      <c r="DY107" s="3">
        <v>21</v>
      </c>
      <c r="DZ107" s="3">
        <v>21</v>
      </c>
      <c r="EA107" s="3">
        <v>20</v>
      </c>
      <c r="EB107" s="3">
        <v>17</v>
      </c>
      <c r="EC107" s="3">
        <v>15</v>
      </c>
      <c r="ED107" s="9">
        <f t="shared" si="28"/>
        <v>0</v>
      </c>
      <c r="EE107" s="3"/>
      <c r="EF107" s="3"/>
      <c r="EG107" s="3"/>
      <c r="EH107" s="3"/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89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97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91"/>
      <c r="FR107" s="102"/>
      <c r="GA107" s="34"/>
    </row>
    <row r="108" spans="1:183" x14ac:dyDescent="0.25">
      <c r="A108" s="6"/>
      <c r="B108" s="80" t="s">
        <v>370</v>
      </c>
      <c r="C108" s="1" t="s">
        <v>371</v>
      </c>
      <c r="D108" s="141">
        <f t="shared" si="27"/>
        <v>0</v>
      </c>
      <c r="E108" s="141">
        <v>0</v>
      </c>
      <c r="F108" s="141">
        <v>0</v>
      </c>
      <c r="G108" s="141">
        <v>0</v>
      </c>
      <c r="H108" s="141">
        <v>0</v>
      </c>
      <c r="P108" s="77"/>
      <c r="Q108" s="159">
        <f t="shared" si="21"/>
        <v>0</v>
      </c>
      <c r="R108" s="141">
        <v>0</v>
      </c>
      <c r="S108" s="141">
        <v>0</v>
      </c>
      <c r="T108" s="141">
        <v>0</v>
      </c>
      <c r="U108" s="141">
        <v>0</v>
      </c>
      <c r="V108" s="141">
        <v>0</v>
      </c>
      <c r="W108" s="141">
        <v>0</v>
      </c>
      <c r="X108" s="141">
        <v>0</v>
      </c>
      <c r="Y108" s="141">
        <v>0</v>
      </c>
      <c r="Z108" s="141">
        <v>0</v>
      </c>
      <c r="AA108" s="141">
        <v>0</v>
      </c>
      <c r="AB108" s="141">
        <v>0</v>
      </c>
      <c r="AC108" s="154">
        <v>0</v>
      </c>
      <c r="AD108" s="159">
        <v>0</v>
      </c>
      <c r="AE108" s="141">
        <v>0</v>
      </c>
      <c r="AF108" s="141">
        <v>0</v>
      </c>
      <c r="AG108" s="141">
        <v>0</v>
      </c>
      <c r="AH108" s="141">
        <v>0</v>
      </c>
      <c r="AI108" s="141">
        <v>0</v>
      </c>
      <c r="AJ108" s="141">
        <v>0</v>
      </c>
      <c r="AK108" s="141">
        <v>0</v>
      </c>
      <c r="AL108" s="141">
        <v>0</v>
      </c>
      <c r="AM108" s="141">
        <v>0</v>
      </c>
      <c r="AN108" s="141">
        <v>0</v>
      </c>
      <c r="AO108" s="141">
        <v>0</v>
      </c>
      <c r="AP108" s="141">
        <v>0</v>
      </c>
      <c r="AQ108" s="9">
        <f t="shared" si="22"/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117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20">
        <v>0</v>
      </c>
      <c r="BQ108" s="65">
        <v>1.9</v>
      </c>
      <c r="BR108" s="3"/>
      <c r="BS108" s="3"/>
      <c r="BT108" s="3"/>
      <c r="BU108" s="3"/>
      <c r="BV108" s="3">
        <v>2</v>
      </c>
      <c r="BW108" s="3">
        <v>2</v>
      </c>
      <c r="BX108" s="3">
        <v>2</v>
      </c>
      <c r="BY108" s="3">
        <v>2</v>
      </c>
      <c r="BZ108" s="3">
        <v>3</v>
      </c>
      <c r="CA108" s="3">
        <v>4</v>
      </c>
      <c r="CB108" s="3">
        <v>3</v>
      </c>
      <c r="CC108" s="3">
        <v>1</v>
      </c>
      <c r="CD108" s="91"/>
      <c r="CE108" s="3"/>
      <c r="CF108" s="3"/>
      <c r="CG108" s="3"/>
      <c r="CH108" s="3"/>
      <c r="CI108" s="3"/>
      <c r="CJ108" s="3"/>
      <c r="CK108" s="3"/>
      <c r="CL108" s="66"/>
      <c r="CM108" s="66"/>
      <c r="CN108" s="66"/>
      <c r="CO108" s="3"/>
      <c r="CP108" s="3"/>
      <c r="CQ108" s="89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89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20"/>
      <c r="DQ108" s="89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89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89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97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91"/>
      <c r="FR108" s="102"/>
      <c r="GA108" s="34"/>
    </row>
    <row r="109" spans="1:183" x14ac:dyDescent="0.25">
      <c r="A109" s="6" t="s">
        <v>159</v>
      </c>
      <c r="B109" s="68" t="s">
        <v>23</v>
      </c>
      <c r="C109" s="1" t="s">
        <v>24</v>
      </c>
      <c r="D109" s="141">
        <f t="shared" si="27"/>
        <v>0</v>
      </c>
      <c r="E109" s="141">
        <v>0</v>
      </c>
      <c r="F109" s="141">
        <v>0</v>
      </c>
      <c r="G109" s="141">
        <v>0</v>
      </c>
      <c r="H109" s="141">
        <v>0</v>
      </c>
      <c r="P109" s="77"/>
      <c r="Q109" s="159">
        <f t="shared" si="21"/>
        <v>0</v>
      </c>
      <c r="R109" s="141">
        <v>0</v>
      </c>
      <c r="S109" s="141">
        <v>0</v>
      </c>
      <c r="T109" s="141">
        <v>0</v>
      </c>
      <c r="U109" s="141">
        <v>0</v>
      </c>
      <c r="V109" s="141">
        <v>0</v>
      </c>
      <c r="W109" s="141">
        <v>0</v>
      </c>
      <c r="X109" s="141">
        <v>0</v>
      </c>
      <c r="Y109" s="141">
        <v>0</v>
      </c>
      <c r="Z109" s="141">
        <v>0</v>
      </c>
      <c r="AA109" s="141">
        <v>0</v>
      </c>
      <c r="AB109" s="141">
        <v>0</v>
      </c>
      <c r="AC109" s="154">
        <v>0</v>
      </c>
      <c r="AD109" s="159">
        <v>0</v>
      </c>
      <c r="AE109" s="141">
        <v>0</v>
      </c>
      <c r="AF109" s="141">
        <v>0</v>
      </c>
      <c r="AG109" s="141">
        <v>0</v>
      </c>
      <c r="AH109" s="141">
        <v>0</v>
      </c>
      <c r="AI109" s="141">
        <v>0</v>
      </c>
      <c r="AJ109" s="141">
        <v>0</v>
      </c>
      <c r="AK109" s="141">
        <v>0</v>
      </c>
      <c r="AL109" s="141">
        <v>0</v>
      </c>
      <c r="AM109" s="141">
        <v>0</v>
      </c>
      <c r="AN109" s="141">
        <v>0</v>
      </c>
      <c r="AO109" s="141">
        <v>0</v>
      </c>
      <c r="AP109" s="141">
        <v>0</v>
      </c>
      <c r="AQ109" s="9">
        <f t="shared" si="22"/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117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20">
        <v>0</v>
      </c>
      <c r="BQ109" s="65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16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66">
        <v>0</v>
      </c>
      <c r="CM109" s="66">
        <v>0</v>
      </c>
      <c r="CN109" s="66">
        <v>0</v>
      </c>
      <c r="CO109" s="3">
        <v>0</v>
      </c>
      <c r="CP109" s="3">
        <v>0</v>
      </c>
      <c r="CQ109" s="9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9">
        <v>0.4</v>
      </c>
      <c r="DE109" s="3">
        <v>1</v>
      </c>
      <c r="DF109" s="3">
        <v>1</v>
      </c>
      <c r="DG109" s="3">
        <v>1</v>
      </c>
      <c r="DH109" s="3">
        <v>1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20">
        <v>0</v>
      </c>
      <c r="DQ109" s="9">
        <v>0.4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1</v>
      </c>
      <c r="DY109" s="3">
        <v>1</v>
      </c>
      <c r="DZ109" s="3">
        <v>1</v>
      </c>
      <c r="EA109" s="3">
        <v>1</v>
      </c>
      <c r="EB109" s="3">
        <v>0</v>
      </c>
      <c r="EC109" s="3">
        <v>0</v>
      </c>
      <c r="ED109" s="9">
        <f t="shared" si="28"/>
        <v>0.1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1</v>
      </c>
      <c r="EO109" s="3">
        <v>0</v>
      </c>
      <c r="EP109" s="3">
        <v>0</v>
      </c>
      <c r="EQ109" s="9">
        <f t="shared" si="26"/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69">
        <f t="shared" si="9"/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16">
        <v>0</v>
      </c>
      <c r="FR109" s="102"/>
      <c r="GA109" s="34"/>
    </row>
    <row r="110" spans="1:183" x14ac:dyDescent="0.25">
      <c r="A110" s="6" t="s">
        <v>159</v>
      </c>
      <c r="B110" s="68" t="s">
        <v>25</v>
      </c>
      <c r="C110" s="1" t="s">
        <v>26</v>
      </c>
      <c r="D110" s="141">
        <f t="shared" si="27"/>
        <v>103.75</v>
      </c>
      <c r="E110" s="141">
        <v>90</v>
      </c>
      <c r="F110" s="141">
        <v>102</v>
      </c>
      <c r="G110" s="141">
        <v>115</v>
      </c>
      <c r="H110" s="141">
        <v>108</v>
      </c>
      <c r="P110" s="77"/>
      <c r="Q110" s="159">
        <f t="shared" si="21"/>
        <v>122.66</v>
      </c>
      <c r="R110" s="141">
        <v>100</v>
      </c>
      <c r="S110" s="141">
        <v>99</v>
      </c>
      <c r="T110" s="141">
        <v>121</v>
      </c>
      <c r="U110" s="141">
        <v>121</v>
      </c>
      <c r="V110" s="141">
        <v>115</v>
      </c>
      <c r="W110" s="141">
        <v>105</v>
      </c>
      <c r="X110" s="141">
        <v>115</v>
      </c>
      <c r="Y110" s="141">
        <v>123</v>
      </c>
      <c r="Z110" s="141">
        <v>104</v>
      </c>
      <c r="AA110" s="141">
        <v>109.6</v>
      </c>
      <c r="AB110" s="141">
        <v>65</v>
      </c>
      <c r="AC110" s="154">
        <v>49</v>
      </c>
      <c r="AD110" s="159">
        <v>106.64000000000001</v>
      </c>
      <c r="AE110" s="141">
        <v>87.6</v>
      </c>
      <c r="AF110" s="141">
        <v>99.6</v>
      </c>
      <c r="AG110" s="141">
        <v>99.6</v>
      </c>
      <c r="AH110" s="141">
        <v>102.6</v>
      </c>
      <c r="AI110" s="141">
        <v>78.599999999999994</v>
      </c>
      <c r="AJ110" s="141">
        <v>88.6</v>
      </c>
      <c r="AK110" s="141">
        <v>95.6</v>
      </c>
      <c r="AL110" s="141">
        <v>104.6</v>
      </c>
      <c r="AM110" s="141">
        <v>100</v>
      </c>
      <c r="AN110" s="141">
        <v>95.6</v>
      </c>
      <c r="AO110" s="141">
        <v>76</v>
      </c>
      <c r="AP110" s="141">
        <v>38</v>
      </c>
      <c r="AQ110" s="9">
        <f t="shared" si="22"/>
        <v>97.8</v>
      </c>
      <c r="AR110" s="3">
        <v>82.6</v>
      </c>
      <c r="AS110" s="3">
        <v>79.599999999999994</v>
      </c>
      <c r="AT110" s="3">
        <v>85.6</v>
      </c>
      <c r="AU110" s="3">
        <v>79.599999999999994</v>
      </c>
      <c r="AV110" s="3">
        <v>75.599999999999994</v>
      </c>
      <c r="AW110" s="3">
        <v>83.6</v>
      </c>
      <c r="AX110" s="3">
        <v>90</v>
      </c>
      <c r="AY110" s="3">
        <v>95.8</v>
      </c>
      <c r="AZ110" s="3">
        <v>90.4</v>
      </c>
      <c r="BA110" s="3">
        <v>95.2</v>
      </c>
      <c r="BB110" s="3">
        <v>73</v>
      </c>
      <c r="BC110" s="3">
        <v>47</v>
      </c>
      <c r="BD110" s="117">
        <v>82.605000000000004</v>
      </c>
      <c r="BE110" s="3">
        <v>64.33</v>
      </c>
      <c r="BF110" s="3">
        <v>68.33</v>
      </c>
      <c r="BG110" s="3">
        <v>84.33</v>
      </c>
      <c r="BH110" s="3">
        <v>77</v>
      </c>
      <c r="BI110" s="3">
        <v>71</v>
      </c>
      <c r="BJ110" s="3">
        <v>56</v>
      </c>
      <c r="BK110" s="3">
        <v>78.599999999999994</v>
      </c>
      <c r="BL110" s="3">
        <v>81.8</v>
      </c>
      <c r="BM110" s="3">
        <v>78.73</v>
      </c>
      <c r="BN110" s="3">
        <v>81.73</v>
      </c>
      <c r="BO110" s="3">
        <v>55.6</v>
      </c>
      <c r="BP110" s="20">
        <v>28.6</v>
      </c>
      <c r="BQ110" s="65">
        <v>88.239000000000004</v>
      </c>
      <c r="BR110" s="3">
        <v>91</v>
      </c>
      <c r="BS110" s="3">
        <v>47.8</v>
      </c>
      <c r="BT110" s="3">
        <v>79.599999999999994</v>
      </c>
      <c r="BU110" s="3">
        <v>75.2</v>
      </c>
      <c r="BV110" s="3">
        <v>75.599999999999994</v>
      </c>
      <c r="BW110" s="3">
        <v>75.400000000000006</v>
      </c>
      <c r="BX110" s="3">
        <v>73.8</v>
      </c>
      <c r="BY110" s="3">
        <v>73.73</v>
      </c>
      <c r="BZ110" s="3">
        <v>85.53</v>
      </c>
      <c r="CA110" s="3">
        <v>93.93</v>
      </c>
      <c r="CB110" s="3">
        <v>65.599999999999994</v>
      </c>
      <c r="CC110" s="3">
        <v>45.2</v>
      </c>
      <c r="CD110" s="16">
        <v>106.28099999999999</v>
      </c>
      <c r="CE110" s="3">
        <v>62.87</v>
      </c>
      <c r="CF110" s="3">
        <v>85</v>
      </c>
      <c r="CG110" s="3">
        <v>96</v>
      </c>
      <c r="CH110" s="3">
        <v>80</v>
      </c>
      <c r="CI110" s="3">
        <v>86</v>
      </c>
      <c r="CJ110" s="3">
        <v>107</v>
      </c>
      <c r="CK110" s="3">
        <v>112.6</v>
      </c>
      <c r="CL110" s="66">
        <v>107.64</v>
      </c>
      <c r="CM110" s="66">
        <v>114.85</v>
      </c>
      <c r="CN110" s="66">
        <v>114.85</v>
      </c>
      <c r="CO110" s="3">
        <v>56</v>
      </c>
      <c r="CP110" s="3">
        <v>40</v>
      </c>
      <c r="CQ110" s="9">
        <v>97.158999999999992</v>
      </c>
      <c r="CR110" s="3">
        <v>53</v>
      </c>
      <c r="CS110" s="3">
        <v>77</v>
      </c>
      <c r="CT110" s="3">
        <v>94</v>
      </c>
      <c r="CU110" s="3">
        <v>89</v>
      </c>
      <c r="CV110" s="3">
        <v>84</v>
      </c>
      <c r="CW110" s="3">
        <v>87</v>
      </c>
      <c r="CX110" s="3">
        <v>89</v>
      </c>
      <c r="CY110" s="3">
        <v>89.53</v>
      </c>
      <c r="CZ110" s="3">
        <v>95.53</v>
      </c>
      <c r="DA110" s="3">
        <v>95.53</v>
      </c>
      <c r="DB110" s="3">
        <v>72</v>
      </c>
      <c r="DC110" s="3">
        <v>46</v>
      </c>
      <c r="DD110" s="9">
        <v>71.72</v>
      </c>
      <c r="DE110" s="3">
        <v>40.6</v>
      </c>
      <c r="DF110" s="3">
        <v>50.6</v>
      </c>
      <c r="DG110" s="3">
        <v>75</v>
      </c>
      <c r="DH110" s="3">
        <v>64</v>
      </c>
      <c r="DI110" s="3">
        <v>60</v>
      </c>
      <c r="DJ110" s="3">
        <v>68</v>
      </c>
      <c r="DK110" s="3">
        <v>70</v>
      </c>
      <c r="DL110" s="3">
        <v>63</v>
      </c>
      <c r="DM110" s="3">
        <v>78</v>
      </c>
      <c r="DN110" s="3">
        <v>70</v>
      </c>
      <c r="DO110" s="3">
        <v>45</v>
      </c>
      <c r="DP110" s="20">
        <v>33</v>
      </c>
      <c r="DQ110" s="9">
        <v>53.980999999999995</v>
      </c>
      <c r="DR110" s="3">
        <v>45.8</v>
      </c>
      <c r="DS110" s="3">
        <v>49.2</v>
      </c>
      <c r="DT110" s="3">
        <v>61.2</v>
      </c>
      <c r="DU110" s="3">
        <v>47.6</v>
      </c>
      <c r="DV110" s="3">
        <v>27.2</v>
      </c>
      <c r="DW110" s="3">
        <v>49.8</v>
      </c>
      <c r="DX110" s="3">
        <v>50.2</v>
      </c>
      <c r="DY110" s="3">
        <v>57.6</v>
      </c>
      <c r="DZ110" s="3">
        <v>39.4</v>
      </c>
      <c r="EA110" s="3">
        <v>39.07</v>
      </c>
      <c r="EB110" s="3">
        <v>39.869999999999997</v>
      </c>
      <c r="EC110" s="3">
        <v>32.869999999999997</v>
      </c>
      <c r="ED110" s="9">
        <f t="shared" si="28"/>
        <v>65.244000000000014</v>
      </c>
      <c r="EE110" s="3">
        <v>37</v>
      </c>
      <c r="EF110" s="3">
        <v>56</v>
      </c>
      <c r="EG110" s="3">
        <v>65.8</v>
      </c>
      <c r="EH110" s="3">
        <v>54.8</v>
      </c>
      <c r="EI110" s="3">
        <v>64.8</v>
      </c>
      <c r="EJ110" s="3">
        <v>60.8</v>
      </c>
      <c r="EK110" s="3">
        <v>67.2</v>
      </c>
      <c r="EL110" s="3">
        <v>60.7</v>
      </c>
      <c r="EM110" s="3">
        <v>54.07</v>
      </c>
      <c r="EN110" s="3">
        <v>63.07</v>
      </c>
      <c r="EO110" s="3">
        <v>43.2</v>
      </c>
      <c r="EP110" s="3">
        <v>25</v>
      </c>
      <c r="EQ110" s="9">
        <f t="shared" si="26"/>
        <v>66.179999999999993</v>
      </c>
      <c r="ER110" s="3">
        <v>39.4</v>
      </c>
      <c r="ES110" s="3">
        <v>49.8</v>
      </c>
      <c r="ET110" s="3">
        <v>54</v>
      </c>
      <c r="EU110" s="3">
        <v>64</v>
      </c>
      <c r="EV110" s="3">
        <v>58.6</v>
      </c>
      <c r="EW110" s="3">
        <v>57.4</v>
      </c>
      <c r="EX110" s="3">
        <v>68</v>
      </c>
      <c r="EY110" s="3">
        <v>77.599999999999994</v>
      </c>
      <c r="EZ110" s="3">
        <v>63</v>
      </c>
      <c r="FA110" s="3">
        <v>63.2</v>
      </c>
      <c r="FB110" s="3">
        <v>39.799999999999997</v>
      </c>
      <c r="FC110" s="3">
        <v>27</v>
      </c>
      <c r="FD110" s="69">
        <f t="shared" si="9"/>
        <v>46.406000000000006</v>
      </c>
      <c r="FE110" s="3">
        <v>18</v>
      </c>
      <c r="FF110" s="3">
        <v>26</v>
      </c>
      <c r="FG110" s="3">
        <v>34</v>
      </c>
      <c r="FH110" s="3">
        <v>38</v>
      </c>
      <c r="FI110" s="3">
        <v>37</v>
      </c>
      <c r="FJ110" s="3">
        <v>41</v>
      </c>
      <c r="FK110" s="3">
        <v>41.8</v>
      </c>
      <c r="FL110" s="3">
        <v>51.6</v>
      </c>
      <c r="FM110" s="3">
        <v>55</v>
      </c>
      <c r="FN110" s="3">
        <v>51</v>
      </c>
      <c r="FO110" s="3">
        <v>41</v>
      </c>
      <c r="FP110" s="3">
        <v>29.66</v>
      </c>
      <c r="FQ110" s="16">
        <v>9.1</v>
      </c>
      <c r="FR110" s="102"/>
      <c r="GA110" s="34"/>
    </row>
    <row r="111" spans="1:183" x14ac:dyDescent="0.25">
      <c r="A111" s="81" t="s">
        <v>89</v>
      </c>
      <c r="B111" s="25" t="s">
        <v>77</v>
      </c>
      <c r="C111" s="1" t="s">
        <v>78</v>
      </c>
      <c r="D111" s="141">
        <f t="shared" si="27"/>
        <v>17.25</v>
      </c>
      <c r="E111" s="141">
        <v>16</v>
      </c>
      <c r="F111" s="141">
        <v>15</v>
      </c>
      <c r="G111" s="141">
        <v>20</v>
      </c>
      <c r="H111" s="141">
        <v>18</v>
      </c>
      <c r="P111" s="77"/>
      <c r="Q111" s="159">
        <f t="shared" si="21"/>
        <v>13.9</v>
      </c>
      <c r="R111" s="141">
        <v>12</v>
      </c>
      <c r="S111" s="141">
        <v>12</v>
      </c>
      <c r="T111" s="141">
        <v>13</v>
      </c>
      <c r="U111" s="141">
        <v>15</v>
      </c>
      <c r="V111" s="141">
        <v>13</v>
      </c>
      <c r="W111" s="141">
        <v>14</v>
      </c>
      <c r="X111" s="141">
        <v>11</v>
      </c>
      <c r="Y111" s="141">
        <v>12</v>
      </c>
      <c r="Z111" s="141">
        <v>13</v>
      </c>
      <c r="AA111" s="141">
        <v>13</v>
      </c>
      <c r="AB111" s="141">
        <v>7</v>
      </c>
      <c r="AC111" s="154">
        <v>4</v>
      </c>
      <c r="AD111" s="159">
        <v>14.4</v>
      </c>
      <c r="AE111" s="141">
        <v>10</v>
      </c>
      <c r="AF111" s="141">
        <v>11</v>
      </c>
      <c r="AG111" s="141">
        <v>13</v>
      </c>
      <c r="AH111" s="141">
        <v>12</v>
      </c>
      <c r="AI111" s="141">
        <v>11</v>
      </c>
      <c r="AJ111" s="141">
        <v>14</v>
      </c>
      <c r="AK111" s="141">
        <v>13</v>
      </c>
      <c r="AL111" s="141">
        <v>13</v>
      </c>
      <c r="AM111" s="141">
        <v>11</v>
      </c>
      <c r="AN111" s="141">
        <v>18</v>
      </c>
      <c r="AO111" s="141">
        <v>11</v>
      </c>
      <c r="AP111" s="141">
        <v>7</v>
      </c>
      <c r="AQ111" s="9">
        <f t="shared" si="22"/>
        <v>10.8</v>
      </c>
      <c r="AR111" s="3">
        <v>5</v>
      </c>
      <c r="AS111" s="3">
        <v>5</v>
      </c>
      <c r="AT111" s="3">
        <v>6</v>
      </c>
      <c r="AU111" s="3">
        <v>9</v>
      </c>
      <c r="AV111" s="3">
        <v>7</v>
      </c>
      <c r="AW111" s="3">
        <v>10</v>
      </c>
      <c r="AX111" s="3">
        <v>12</v>
      </c>
      <c r="AY111" s="3">
        <v>15</v>
      </c>
      <c r="AZ111" s="3">
        <v>12</v>
      </c>
      <c r="BA111" s="3">
        <v>12</v>
      </c>
      <c r="BB111" s="3">
        <v>8</v>
      </c>
      <c r="BC111" s="3">
        <v>7</v>
      </c>
      <c r="BD111" s="117">
        <v>5</v>
      </c>
      <c r="BE111" s="3">
        <v>3</v>
      </c>
      <c r="BF111" s="3">
        <v>4</v>
      </c>
      <c r="BG111" s="3">
        <v>4</v>
      </c>
      <c r="BH111" s="3">
        <v>6</v>
      </c>
      <c r="BI111" s="3">
        <v>4</v>
      </c>
      <c r="BJ111" s="3">
        <v>4</v>
      </c>
      <c r="BK111" s="3">
        <v>4</v>
      </c>
      <c r="BL111" s="3">
        <v>4</v>
      </c>
      <c r="BM111" s="3">
        <v>5</v>
      </c>
      <c r="BN111" s="3">
        <v>5</v>
      </c>
      <c r="BO111" s="3">
        <v>4</v>
      </c>
      <c r="BP111" s="20">
        <v>3</v>
      </c>
      <c r="BQ111" s="65">
        <v>12.2</v>
      </c>
      <c r="BR111" s="3">
        <v>21</v>
      </c>
      <c r="BS111" s="3">
        <v>17</v>
      </c>
      <c r="BT111" s="3">
        <v>14</v>
      </c>
      <c r="BU111" s="3">
        <v>13</v>
      </c>
      <c r="BV111" s="3">
        <v>12</v>
      </c>
      <c r="BW111" s="3">
        <v>9</v>
      </c>
      <c r="BX111" s="3">
        <v>10</v>
      </c>
      <c r="BY111" s="3">
        <v>10</v>
      </c>
      <c r="BZ111" s="3">
        <v>7</v>
      </c>
      <c r="CA111" s="3">
        <v>5</v>
      </c>
      <c r="CB111" s="3">
        <v>2</v>
      </c>
      <c r="CC111" s="3">
        <v>2</v>
      </c>
      <c r="CD111" s="16">
        <v>18.121999999999996</v>
      </c>
      <c r="CE111" s="3">
        <v>18</v>
      </c>
      <c r="CF111" s="3">
        <v>15</v>
      </c>
      <c r="CG111" s="3">
        <v>11</v>
      </c>
      <c r="CH111" s="3">
        <v>10</v>
      </c>
      <c r="CI111" s="3">
        <v>16</v>
      </c>
      <c r="CJ111" s="3">
        <v>18</v>
      </c>
      <c r="CK111" s="3">
        <v>23</v>
      </c>
      <c r="CL111" s="66">
        <v>15.16</v>
      </c>
      <c r="CM111" s="66">
        <v>16.11</v>
      </c>
      <c r="CN111" s="66">
        <v>18.95</v>
      </c>
      <c r="CO111" s="3">
        <v>11</v>
      </c>
      <c r="CP111" s="3">
        <v>9</v>
      </c>
      <c r="CQ111" s="9">
        <v>24.7</v>
      </c>
      <c r="CR111" s="3">
        <v>28</v>
      </c>
      <c r="CS111" s="3">
        <v>25</v>
      </c>
      <c r="CT111" s="3">
        <v>26</v>
      </c>
      <c r="CU111" s="3">
        <v>22</v>
      </c>
      <c r="CV111" s="3">
        <v>24</v>
      </c>
      <c r="CW111" s="3">
        <v>22</v>
      </c>
      <c r="CX111" s="3">
        <v>19</v>
      </c>
      <c r="CY111" s="3">
        <v>16</v>
      </c>
      <c r="CZ111" s="3">
        <v>17</v>
      </c>
      <c r="DA111" s="3">
        <v>20</v>
      </c>
      <c r="DB111" s="3">
        <v>15</v>
      </c>
      <c r="DC111" s="3">
        <v>13</v>
      </c>
      <c r="DD111" s="9">
        <v>23.881999999999998</v>
      </c>
      <c r="DE111" s="3">
        <v>14</v>
      </c>
      <c r="DF111" s="3">
        <v>18</v>
      </c>
      <c r="DG111" s="3">
        <v>18</v>
      </c>
      <c r="DH111" s="3">
        <v>21</v>
      </c>
      <c r="DI111" s="3">
        <v>23</v>
      </c>
      <c r="DJ111" s="3">
        <v>21</v>
      </c>
      <c r="DK111" s="3">
        <v>22</v>
      </c>
      <c r="DL111" s="3">
        <v>22</v>
      </c>
      <c r="DM111" s="3">
        <v>25</v>
      </c>
      <c r="DN111" s="3">
        <v>29</v>
      </c>
      <c r="DO111" s="3">
        <v>14.82</v>
      </c>
      <c r="DP111" s="20">
        <v>11</v>
      </c>
      <c r="DQ111" s="9">
        <v>19.899999999999999</v>
      </c>
      <c r="DR111" s="3">
        <v>14</v>
      </c>
      <c r="DS111" s="3">
        <v>15</v>
      </c>
      <c r="DT111" s="3">
        <v>21</v>
      </c>
      <c r="DU111" s="3">
        <v>24</v>
      </c>
      <c r="DV111" s="3">
        <v>18</v>
      </c>
      <c r="DW111" s="3">
        <v>21</v>
      </c>
      <c r="DX111" s="3">
        <v>19</v>
      </c>
      <c r="DY111" s="3">
        <v>17</v>
      </c>
      <c r="DZ111" s="3">
        <v>14</v>
      </c>
      <c r="EA111" s="3">
        <v>18</v>
      </c>
      <c r="EB111" s="3">
        <v>10</v>
      </c>
      <c r="EC111" s="3">
        <v>8</v>
      </c>
      <c r="ED111" s="9">
        <f t="shared" si="28"/>
        <v>23.5</v>
      </c>
      <c r="EE111" s="3">
        <v>10</v>
      </c>
      <c r="EF111" s="3">
        <v>19</v>
      </c>
      <c r="EG111" s="3">
        <v>18</v>
      </c>
      <c r="EH111" s="3">
        <v>13</v>
      </c>
      <c r="EI111" s="3">
        <v>26</v>
      </c>
      <c r="EJ111" s="3">
        <v>24</v>
      </c>
      <c r="EK111" s="3">
        <v>25</v>
      </c>
      <c r="EL111" s="3">
        <v>24</v>
      </c>
      <c r="EM111" s="3">
        <v>23</v>
      </c>
      <c r="EN111" s="3">
        <v>27</v>
      </c>
      <c r="EO111" s="3">
        <v>16</v>
      </c>
      <c r="EP111" s="3">
        <v>10</v>
      </c>
      <c r="EQ111" s="9">
        <f t="shared" si="26"/>
        <v>18.7</v>
      </c>
      <c r="ER111" s="3">
        <v>13</v>
      </c>
      <c r="ES111" s="3">
        <v>15</v>
      </c>
      <c r="ET111" s="3">
        <v>15</v>
      </c>
      <c r="EU111" s="3">
        <v>17</v>
      </c>
      <c r="EV111" s="3">
        <v>17</v>
      </c>
      <c r="EW111" s="3">
        <v>14</v>
      </c>
      <c r="EX111" s="3">
        <v>17</v>
      </c>
      <c r="EY111" s="3">
        <v>22</v>
      </c>
      <c r="EZ111" s="3">
        <v>16</v>
      </c>
      <c r="FA111" s="3">
        <v>25</v>
      </c>
      <c r="FB111" s="3">
        <v>10</v>
      </c>
      <c r="FC111" s="3">
        <v>6</v>
      </c>
      <c r="FD111" s="69">
        <f t="shared" si="9"/>
        <v>23</v>
      </c>
      <c r="FE111" s="3"/>
      <c r="FF111" s="3"/>
      <c r="FG111" s="3">
        <v>23</v>
      </c>
      <c r="FH111" s="3">
        <v>37</v>
      </c>
      <c r="FI111" s="3">
        <v>36</v>
      </c>
      <c r="FJ111" s="3">
        <v>29</v>
      </c>
      <c r="FK111" s="3">
        <v>22</v>
      </c>
      <c r="FL111" s="3">
        <v>23</v>
      </c>
      <c r="FM111" s="3">
        <v>19</v>
      </c>
      <c r="FN111" s="3">
        <v>19</v>
      </c>
      <c r="FO111" s="3">
        <v>15</v>
      </c>
      <c r="FP111" s="3">
        <v>7</v>
      </c>
      <c r="FQ111" s="102"/>
      <c r="FR111" s="102"/>
      <c r="GA111" s="34"/>
    </row>
    <row r="112" spans="1:183" x14ac:dyDescent="0.25">
      <c r="A112" s="6" t="s">
        <v>124</v>
      </c>
      <c r="B112" s="27" t="s">
        <v>127</v>
      </c>
      <c r="C112" s="4" t="s">
        <v>123</v>
      </c>
      <c r="D112" s="137">
        <f t="shared" si="27"/>
        <v>10.5</v>
      </c>
      <c r="E112" s="137">
        <v>12</v>
      </c>
      <c r="F112" s="137">
        <v>10</v>
      </c>
      <c r="G112" s="137">
        <v>11</v>
      </c>
      <c r="H112" s="137">
        <v>9</v>
      </c>
      <c r="I112" s="4"/>
      <c r="J112" s="4"/>
      <c r="K112" s="4"/>
      <c r="L112" s="4"/>
      <c r="M112" s="4"/>
      <c r="N112" s="4"/>
      <c r="O112" s="4"/>
      <c r="P112" s="178"/>
      <c r="Q112" s="158">
        <f t="shared" si="21"/>
        <v>13.4</v>
      </c>
      <c r="R112" s="137">
        <v>11</v>
      </c>
      <c r="S112" s="137">
        <v>9</v>
      </c>
      <c r="T112" s="137">
        <v>8</v>
      </c>
      <c r="U112" s="137">
        <v>12</v>
      </c>
      <c r="V112" s="137">
        <v>12</v>
      </c>
      <c r="W112" s="137">
        <v>15</v>
      </c>
      <c r="X112" s="137">
        <v>15</v>
      </c>
      <c r="Y112" s="137">
        <v>13</v>
      </c>
      <c r="Z112" s="137">
        <v>10</v>
      </c>
      <c r="AA112" s="137">
        <v>13</v>
      </c>
      <c r="AB112" s="137">
        <v>8</v>
      </c>
      <c r="AC112" s="140">
        <v>8</v>
      </c>
      <c r="AD112" s="158">
        <v>18.5</v>
      </c>
      <c r="AE112" s="137">
        <v>16</v>
      </c>
      <c r="AF112" s="137">
        <v>21</v>
      </c>
      <c r="AG112" s="137">
        <v>16</v>
      </c>
      <c r="AH112" s="137">
        <v>19</v>
      </c>
      <c r="AI112" s="137">
        <v>16</v>
      </c>
      <c r="AJ112" s="137">
        <v>18</v>
      </c>
      <c r="AK112" s="137">
        <v>19</v>
      </c>
      <c r="AL112" s="137">
        <v>18</v>
      </c>
      <c r="AM112" s="137">
        <v>16</v>
      </c>
      <c r="AN112" s="137">
        <v>14</v>
      </c>
      <c r="AO112" s="137">
        <v>5</v>
      </c>
      <c r="AP112" s="140">
        <v>7</v>
      </c>
      <c r="AQ112" s="8">
        <f t="shared" si="22"/>
        <v>21</v>
      </c>
      <c r="AR112" s="14">
        <v>15</v>
      </c>
      <c r="AS112" s="14">
        <v>15</v>
      </c>
      <c r="AT112" s="14">
        <v>17</v>
      </c>
      <c r="AU112" s="14">
        <v>16</v>
      </c>
      <c r="AV112" s="14">
        <v>19</v>
      </c>
      <c r="AW112" s="14">
        <v>19</v>
      </c>
      <c r="AX112" s="14">
        <v>20</v>
      </c>
      <c r="AY112" s="14">
        <v>21</v>
      </c>
      <c r="AZ112" s="14">
        <v>19</v>
      </c>
      <c r="BA112" s="14">
        <v>22</v>
      </c>
      <c r="BB112" s="14">
        <v>15</v>
      </c>
      <c r="BC112" s="19">
        <v>12</v>
      </c>
      <c r="BD112" s="116">
        <v>14.6</v>
      </c>
      <c r="BE112" s="14">
        <v>10</v>
      </c>
      <c r="BF112" s="14">
        <v>7</v>
      </c>
      <c r="BG112" s="14">
        <v>11</v>
      </c>
      <c r="BH112" s="14">
        <v>8</v>
      </c>
      <c r="BI112" s="14">
        <v>11</v>
      </c>
      <c r="BJ112" s="14">
        <v>10</v>
      </c>
      <c r="BK112" s="14">
        <v>11</v>
      </c>
      <c r="BL112" s="14">
        <v>16</v>
      </c>
      <c r="BM112" s="14">
        <v>16</v>
      </c>
      <c r="BN112" s="14">
        <v>18</v>
      </c>
      <c r="BO112" s="14">
        <v>17</v>
      </c>
      <c r="BP112" s="19">
        <v>11</v>
      </c>
      <c r="BQ112" s="70">
        <v>14.5</v>
      </c>
      <c r="BR112" s="14">
        <v>17</v>
      </c>
      <c r="BS112" s="14">
        <v>19</v>
      </c>
      <c r="BT112" s="14">
        <v>17</v>
      </c>
      <c r="BU112" s="14">
        <v>16</v>
      </c>
      <c r="BV112" s="14">
        <v>16</v>
      </c>
      <c r="BW112" s="14">
        <v>12</v>
      </c>
      <c r="BX112" s="14">
        <v>8</v>
      </c>
      <c r="BY112" s="14">
        <v>12</v>
      </c>
      <c r="BZ112" s="14">
        <v>10</v>
      </c>
      <c r="CA112" s="14">
        <v>10</v>
      </c>
      <c r="CB112" s="14">
        <v>3</v>
      </c>
      <c r="CC112" s="14">
        <v>5</v>
      </c>
      <c r="CD112" s="17">
        <v>38.187000000000005</v>
      </c>
      <c r="CE112" s="14">
        <v>25</v>
      </c>
      <c r="CF112" s="14">
        <v>29</v>
      </c>
      <c r="CG112" s="14">
        <v>32</v>
      </c>
      <c r="CH112" s="14">
        <v>34</v>
      </c>
      <c r="CI112" s="14">
        <v>35</v>
      </c>
      <c r="CJ112" s="14">
        <v>37</v>
      </c>
      <c r="CK112" s="14">
        <v>34</v>
      </c>
      <c r="CL112" s="71">
        <v>42.29</v>
      </c>
      <c r="CM112" s="71">
        <v>42.29</v>
      </c>
      <c r="CN112" s="71">
        <v>42.29</v>
      </c>
      <c r="CO112" s="14">
        <v>19</v>
      </c>
      <c r="CP112" s="14">
        <v>10</v>
      </c>
      <c r="CQ112" s="8">
        <v>17.399999999999999</v>
      </c>
      <c r="CR112" s="14">
        <v>18</v>
      </c>
      <c r="CS112" s="14">
        <v>14</v>
      </c>
      <c r="CT112" s="14">
        <v>21</v>
      </c>
      <c r="CU112" s="14">
        <v>15</v>
      </c>
      <c r="CV112" s="14">
        <v>12</v>
      </c>
      <c r="CW112" s="14">
        <v>13</v>
      </c>
      <c r="CX112" s="14">
        <v>14</v>
      </c>
      <c r="CY112" s="14">
        <v>16</v>
      </c>
      <c r="CZ112" s="14">
        <v>16</v>
      </c>
      <c r="DA112" s="14">
        <v>16</v>
      </c>
      <c r="DB112" s="14">
        <v>10</v>
      </c>
      <c r="DC112" s="14">
        <v>9</v>
      </c>
      <c r="DD112" s="8">
        <v>12</v>
      </c>
      <c r="DE112" s="14">
        <v>8</v>
      </c>
      <c r="DF112" s="14">
        <v>6</v>
      </c>
      <c r="DG112" s="14">
        <v>12</v>
      </c>
      <c r="DH112" s="14">
        <v>9</v>
      </c>
      <c r="DI112" s="14">
        <v>11</v>
      </c>
      <c r="DJ112" s="14">
        <v>11</v>
      </c>
      <c r="DK112" s="14">
        <v>11</v>
      </c>
      <c r="DL112" s="14">
        <v>12</v>
      </c>
      <c r="DM112" s="14">
        <v>10</v>
      </c>
      <c r="DN112" s="14">
        <v>15</v>
      </c>
      <c r="DO112" s="14">
        <v>8</v>
      </c>
      <c r="DP112" s="19">
        <v>7</v>
      </c>
      <c r="DQ112" s="8">
        <v>10.3</v>
      </c>
      <c r="DR112" s="14">
        <v>8</v>
      </c>
      <c r="DS112" s="14">
        <v>8</v>
      </c>
      <c r="DT112" s="14">
        <v>7</v>
      </c>
      <c r="DU112" s="14">
        <v>9</v>
      </c>
      <c r="DV112" s="14">
        <v>10</v>
      </c>
      <c r="DW112" s="14">
        <v>9</v>
      </c>
      <c r="DX112" s="14">
        <v>7</v>
      </c>
      <c r="DY112" s="14">
        <v>9</v>
      </c>
      <c r="DZ112" s="14">
        <v>12</v>
      </c>
      <c r="EA112" s="14">
        <v>12</v>
      </c>
      <c r="EB112" s="14">
        <v>8</v>
      </c>
      <c r="EC112" s="14">
        <v>4</v>
      </c>
      <c r="ED112" s="8">
        <f t="shared" si="28"/>
        <v>14.2</v>
      </c>
      <c r="EE112" s="14">
        <v>5</v>
      </c>
      <c r="EF112" s="14">
        <v>10</v>
      </c>
      <c r="EG112" s="14">
        <v>9</v>
      </c>
      <c r="EH112" s="14">
        <v>11</v>
      </c>
      <c r="EI112" s="14">
        <v>16</v>
      </c>
      <c r="EJ112" s="14">
        <v>10</v>
      </c>
      <c r="EK112" s="14">
        <v>14</v>
      </c>
      <c r="EL112" s="14">
        <v>21</v>
      </c>
      <c r="EM112" s="14">
        <v>15</v>
      </c>
      <c r="EN112" s="14">
        <v>17</v>
      </c>
      <c r="EO112" s="14">
        <v>7</v>
      </c>
      <c r="EP112" s="14">
        <v>7</v>
      </c>
      <c r="EQ112" s="8">
        <f t="shared" si="26"/>
        <v>22.9</v>
      </c>
      <c r="ER112" s="14">
        <v>20</v>
      </c>
      <c r="ES112" s="14">
        <v>20</v>
      </c>
      <c r="ET112" s="14">
        <v>29</v>
      </c>
      <c r="EU112" s="14">
        <v>21</v>
      </c>
      <c r="EV112" s="14">
        <v>26</v>
      </c>
      <c r="EW112" s="14">
        <v>22</v>
      </c>
      <c r="EX112" s="14">
        <v>17</v>
      </c>
      <c r="EY112" s="14">
        <v>20</v>
      </c>
      <c r="EZ112" s="14">
        <v>19</v>
      </c>
      <c r="FA112" s="14">
        <v>21</v>
      </c>
      <c r="FB112" s="14">
        <v>11</v>
      </c>
      <c r="FC112" s="14">
        <v>3</v>
      </c>
      <c r="FD112" s="67">
        <f t="shared" ref="FD112:FD183" si="29">SUM(FE112:FP112)/10</f>
        <v>9</v>
      </c>
      <c r="FE112" s="14"/>
      <c r="FF112" s="14"/>
      <c r="FG112" s="14"/>
      <c r="FH112" s="14"/>
      <c r="FI112" s="14"/>
      <c r="FJ112" s="14"/>
      <c r="FK112" s="14"/>
      <c r="FL112" s="14">
        <v>15</v>
      </c>
      <c r="FM112" s="14">
        <v>18</v>
      </c>
      <c r="FN112" s="14">
        <v>24</v>
      </c>
      <c r="FO112" s="14">
        <v>18</v>
      </c>
      <c r="FP112" s="14">
        <v>15</v>
      </c>
      <c r="FQ112" s="108"/>
      <c r="FR112" s="108"/>
      <c r="GA112" s="34"/>
    </row>
    <row r="113" spans="1:183" x14ac:dyDescent="0.25">
      <c r="A113" s="6" t="s">
        <v>159</v>
      </c>
      <c r="B113" s="68" t="s">
        <v>27</v>
      </c>
      <c r="C113" s="1" t="s">
        <v>28</v>
      </c>
      <c r="D113" s="141">
        <f t="shared" si="27"/>
        <v>0</v>
      </c>
      <c r="E113" s="141">
        <v>0</v>
      </c>
      <c r="F113" s="141">
        <v>0</v>
      </c>
      <c r="G113" s="141">
        <v>0</v>
      </c>
      <c r="H113" s="141">
        <v>0</v>
      </c>
      <c r="P113" s="77"/>
      <c r="Q113" s="159">
        <f t="shared" si="21"/>
        <v>0</v>
      </c>
      <c r="R113" s="141">
        <v>0</v>
      </c>
      <c r="S113" s="141">
        <v>0</v>
      </c>
      <c r="T113" s="141">
        <v>0</v>
      </c>
      <c r="U113" s="141">
        <v>0</v>
      </c>
      <c r="V113" s="141">
        <v>0</v>
      </c>
      <c r="W113" s="141">
        <v>0</v>
      </c>
      <c r="X113" s="141">
        <v>0</v>
      </c>
      <c r="Y113" s="141">
        <v>0</v>
      </c>
      <c r="Z113" s="141">
        <v>0</v>
      </c>
      <c r="AA113" s="141">
        <v>0</v>
      </c>
      <c r="AB113" s="141">
        <v>0</v>
      </c>
      <c r="AC113" s="154">
        <v>0</v>
      </c>
      <c r="AD113" s="159">
        <v>0.1</v>
      </c>
      <c r="AE113" s="141">
        <v>0</v>
      </c>
      <c r="AF113" s="141">
        <v>0</v>
      </c>
      <c r="AG113" s="141">
        <v>1</v>
      </c>
      <c r="AH113" s="141">
        <v>0</v>
      </c>
      <c r="AI113" s="141">
        <v>0</v>
      </c>
      <c r="AJ113" s="141">
        <v>0</v>
      </c>
      <c r="AK113" s="141">
        <v>0</v>
      </c>
      <c r="AL113" s="141">
        <v>0</v>
      </c>
      <c r="AM113" s="141">
        <v>0</v>
      </c>
      <c r="AN113" s="141">
        <v>0</v>
      </c>
      <c r="AO113" s="141">
        <v>0</v>
      </c>
      <c r="AP113" s="154">
        <v>0</v>
      </c>
      <c r="AQ113" s="9">
        <f t="shared" si="22"/>
        <v>1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1</v>
      </c>
      <c r="AX113" s="3">
        <v>4</v>
      </c>
      <c r="AY113" s="3">
        <v>3</v>
      </c>
      <c r="AZ113" s="3">
        <v>1</v>
      </c>
      <c r="BA113" s="3">
        <v>1</v>
      </c>
      <c r="BB113" s="3">
        <v>0</v>
      </c>
      <c r="BC113" s="20">
        <v>0</v>
      </c>
      <c r="BD113" s="117">
        <v>2.2000000000000002</v>
      </c>
      <c r="BE113" s="3">
        <v>1</v>
      </c>
      <c r="BF113" s="3">
        <v>3</v>
      </c>
      <c r="BG113" s="3">
        <v>3</v>
      </c>
      <c r="BH113" s="3">
        <v>4</v>
      </c>
      <c r="BI113" s="3">
        <v>3</v>
      </c>
      <c r="BJ113" s="3">
        <v>1</v>
      </c>
      <c r="BK113" s="3">
        <v>2</v>
      </c>
      <c r="BL113" s="3">
        <v>2</v>
      </c>
      <c r="BM113" s="3">
        <v>2</v>
      </c>
      <c r="BN113" s="3">
        <v>1</v>
      </c>
      <c r="BO113" s="3">
        <v>0</v>
      </c>
      <c r="BP113" s="20">
        <v>0</v>
      </c>
      <c r="BQ113" s="65">
        <v>1.7</v>
      </c>
      <c r="BR113" s="3">
        <v>1</v>
      </c>
      <c r="BS113" s="3">
        <v>1</v>
      </c>
      <c r="BT113" s="3">
        <v>2</v>
      </c>
      <c r="BU113" s="3">
        <v>1</v>
      </c>
      <c r="BV113" s="3">
        <v>2</v>
      </c>
      <c r="BW113" s="3">
        <v>1</v>
      </c>
      <c r="BX113" s="3">
        <v>2</v>
      </c>
      <c r="BY113" s="3">
        <v>2</v>
      </c>
      <c r="BZ113" s="3">
        <v>2</v>
      </c>
      <c r="CA113" s="3">
        <v>2</v>
      </c>
      <c r="CB113" s="3">
        <v>1</v>
      </c>
      <c r="CC113" s="3">
        <v>0</v>
      </c>
      <c r="CD113" s="16">
        <v>1.1000000000000001</v>
      </c>
      <c r="CE113" s="3">
        <v>1</v>
      </c>
      <c r="CF113" s="3">
        <v>0</v>
      </c>
      <c r="CG113" s="3">
        <v>0</v>
      </c>
      <c r="CH113" s="3">
        <v>1</v>
      </c>
      <c r="CI113" s="3">
        <v>1</v>
      </c>
      <c r="CJ113" s="3">
        <v>1</v>
      </c>
      <c r="CK113" s="3">
        <v>1</v>
      </c>
      <c r="CL113" s="66">
        <v>2</v>
      </c>
      <c r="CM113" s="66">
        <v>2</v>
      </c>
      <c r="CN113" s="66">
        <v>2</v>
      </c>
      <c r="CO113" s="3">
        <v>0</v>
      </c>
      <c r="CP113" s="3">
        <v>0</v>
      </c>
      <c r="CQ113" s="9">
        <v>1.1000000000000001</v>
      </c>
      <c r="CR113" s="3">
        <v>0</v>
      </c>
      <c r="CS113" s="3">
        <v>0</v>
      </c>
      <c r="CT113" s="3">
        <v>3</v>
      </c>
      <c r="CU113" s="3">
        <v>0</v>
      </c>
      <c r="CV113" s="3">
        <v>0</v>
      </c>
      <c r="CW113" s="3">
        <v>0</v>
      </c>
      <c r="CX113" s="3">
        <v>1</v>
      </c>
      <c r="CY113" s="3">
        <v>2</v>
      </c>
      <c r="CZ113" s="3">
        <v>2</v>
      </c>
      <c r="DA113" s="3">
        <v>2</v>
      </c>
      <c r="DB113" s="3">
        <v>1</v>
      </c>
      <c r="DC113" s="3">
        <v>0</v>
      </c>
      <c r="DD113" s="9">
        <v>4.8</v>
      </c>
      <c r="DE113" s="3">
        <v>2</v>
      </c>
      <c r="DF113" s="3">
        <v>3</v>
      </c>
      <c r="DG113" s="3">
        <v>5</v>
      </c>
      <c r="DH113" s="3">
        <v>5</v>
      </c>
      <c r="DI113" s="3">
        <v>5</v>
      </c>
      <c r="DJ113" s="3">
        <v>5</v>
      </c>
      <c r="DK113" s="3">
        <v>4</v>
      </c>
      <c r="DL113" s="3">
        <v>7</v>
      </c>
      <c r="DM113" s="3">
        <v>4</v>
      </c>
      <c r="DN113" s="3">
        <v>5</v>
      </c>
      <c r="DO113" s="3">
        <v>3</v>
      </c>
      <c r="DP113" s="20">
        <v>0</v>
      </c>
      <c r="DQ113" s="9">
        <v>3</v>
      </c>
      <c r="DR113" s="3">
        <v>4</v>
      </c>
      <c r="DS113" s="3">
        <v>3</v>
      </c>
      <c r="DT113" s="3">
        <v>3</v>
      </c>
      <c r="DU113" s="3">
        <v>3</v>
      </c>
      <c r="DV113" s="3">
        <v>3</v>
      </c>
      <c r="DW113" s="3">
        <v>4</v>
      </c>
      <c r="DX113" s="3">
        <v>2</v>
      </c>
      <c r="DY113" s="3">
        <v>2</v>
      </c>
      <c r="DZ113" s="3">
        <v>3</v>
      </c>
      <c r="EA113" s="3">
        <v>3</v>
      </c>
      <c r="EB113" s="3">
        <v>0</v>
      </c>
      <c r="EC113" s="3">
        <v>0</v>
      </c>
      <c r="ED113" s="9">
        <f t="shared" si="28"/>
        <v>1.2</v>
      </c>
      <c r="EE113" s="3">
        <v>0</v>
      </c>
      <c r="EF113" s="3">
        <v>1</v>
      </c>
      <c r="EG113" s="3">
        <v>1</v>
      </c>
      <c r="EH113" s="3">
        <v>1</v>
      </c>
      <c r="EI113" s="3">
        <v>0</v>
      </c>
      <c r="EJ113" s="3">
        <v>3</v>
      </c>
      <c r="EK113" s="3">
        <v>3</v>
      </c>
      <c r="EL113" s="3">
        <v>3</v>
      </c>
      <c r="EM113" s="3">
        <v>0</v>
      </c>
      <c r="EN113" s="3">
        <v>0</v>
      </c>
      <c r="EO113" s="3">
        <v>0</v>
      </c>
      <c r="EP113" s="3">
        <v>0</v>
      </c>
      <c r="EQ113" s="9">
        <f t="shared" si="26"/>
        <v>3.9670000000000001</v>
      </c>
      <c r="ER113" s="3">
        <v>3</v>
      </c>
      <c r="ES113" s="3">
        <v>3</v>
      </c>
      <c r="ET113" s="3">
        <v>3</v>
      </c>
      <c r="EU113" s="3">
        <v>3</v>
      </c>
      <c r="EV113" s="3">
        <v>5</v>
      </c>
      <c r="EW113" s="3">
        <v>5</v>
      </c>
      <c r="EX113" s="3">
        <v>4</v>
      </c>
      <c r="EY113" s="3">
        <v>4</v>
      </c>
      <c r="EZ113" s="3">
        <v>4</v>
      </c>
      <c r="FA113" s="3">
        <v>3.67</v>
      </c>
      <c r="FB113" s="3">
        <v>2</v>
      </c>
      <c r="FC113" s="3">
        <v>0</v>
      </c>
      <c r="FD113" s="69">
        <f t="shared" si="29"/>
        <v>3.1</v>
      </c>
      <c r="FE113" s="3">
        <v>2</v>
      </c>
      <c r="FF113" s="3">
        <v>2</v>
      </c>
      <c r="FG113" s="3">
        <v>2</v>
      </c>
      <c r="FH113" s="3">
        <v>2</v>
      </c>
      <c r="FI113" s="3">
        <v>4</v>
      </c>
      <c r="FJ113" s="3">
        <v>3</v>
      </c>
      <c r="FK113" s="3">
        <v>3</v>
      </c>
      <c r="FL113" s="3">
        <v>3</v>
      </c>
      <c r="FM113" s="3">
        <v>2</v>
      </c>
      <c r="FN113" s="3">
        <v>2</v>
      </c>
      <c r="FO113" s="3">
        <v>3</v>
      </c>
      <c r="FP113" s="3">
        <v>3</v>
      </c>
      <c r="FQ113" s="16">
        <v>2.1</v>
      </c>
      <c r="FR113" s="102"/>
      <c r="GA113" s="34"/>
    </row>
    <row r="114" spans="1:183" x14ac:dyDescent="0.25">
      <c r="A114" s="6" t="s">
        <v>324</v>
      </c>
      <c r="B114" s="25" t="s">
        <v>326</v>
      </c>
      <c r="C114" s="1" t="s">
        <v>325</v>
      </c>
      <c r="D114" s="141">
        <f t="shared" si="27"/>
        <v>1</v>
      </c>
      <c r="E114" s="141">
        <v>3</v>
      </c>
      <c r="F114" s="141">
        <v>1</v>
      </c>
      <c r="G114" s="141">
        <v>0</v>
      </c>
      <c r="H114" s="141">
        <v>0</v>
      </c>
      <c r="P114" s="77"/>
      <c r="Q114" s="159">
        <f t="shared" si="21"/>
        <v>1</v>
      </c>
      <c r="R114" s="141">
        <v>0</v>
      </c>
      <c r="S114" s="141">
        <v>0</v>
      </c>
      <c r="T114" s="141">
        <v>0</v>
      </c>
      <c r="U114" s="141">
        <v>0</v>
      </c>
      <c r="V114" s="141">
        <v>0</v>
      </c>
      <c r="W114" s="141">
        <v>0</v>
      </c>
      <c r="X114" s="141">
        <v>1</v>
      </c>
      <c r="Y114" s="141">
        <v>1</v>
      </c>
      <c r="Z114" s="141">
        <v>2</v>
      </c>
      <c r="AA114" s="141">
        <v>1</v>
      </c>
      <c r="AB114" s="141">
        <v>2</v>
      </c>
      <c r="AC114" s="154">
        <v>3</v>
      </c>
      <c r="AD114" s="159">
        <v>1.2</v>
      </c>
      <c r="AE114" s="141">
        <v>1</v>
      </c>
      <c r="AF114" s="141">
        <v>2</v>
      </c>
      <c r="AG114" s="141">
        <v>2</v>
      </c>
      <c r="AH114" s="141">
        <v>3</v>
      </c>
      <c r="AI114" s="141">
        <v>0</v>
      </c>
      <c r="AJ114" s="141">
        <v>1</v>
      </c>
      <c r="AK114" s="141">
        <v>1</v>
      </c>
      <c r="AL114" s="141">
        <v>2</v>
      </c>
      <c r="AM114" s="141">
        <v>0</v>
      </c>
      <c r="AN114" s="141">
        <v>0</v>
      </c>
      <c r="AO114" s="141">
        <v>0</v>
      </c>
      <c r="AP114" s="154">
        <v>0</v>
      </c>
      <c r="AQ114" s="9">
        <f t="shared" si="22"/>
        <v>5.0999999999999996</v>
      </c>
      <c r="AR114" s="3">
        <v>5</v>
      </c>
      <c r="AS114" s="3">
        <v>5</v>
      </c>
      <c r="AT114" s="3">
        <v>7</v>
      </c>
      <c r="AU114" s="3">
        <v>6</v>
      </c>
      <c r="AV114" s="3">
        <v>6</v>
      </c>
      <c r="AW114" s="3">
        <v>6</v>
      </c>
      <c r="AX114" s="3">
        <v>7</v>
      </c>
      <c r="AY114" s="3">
        <v>4</v>
      </c>
      <c r="AZ114" s="3">
        <v>1</v>
      </c>
      <c r="BA114" s="3">
        <v>4</v>
      </c>
      <c r="BB114" s="3">
        <v>0</v>
      </c>
      <c r="BC114" s="20">
        <v>0</v>
      </c>
      <c r="BD114" s="117">
        <v>7.1</v>
      </c>
      <c r="BE114" s="3">
        <v>0</v>
      </c>
      <c r="BF114" s="3">
        <v>0</v>
      </c>
      <c r="BG114" s="3">
        <v>5</v>
      </c>
      <c r="BH114" s="3">
        <v>5</v>
      </c>
      <c r="BI114" s="3">
        <v>8</v>
      </c>
      <c r="BJ114" s="3">
        <v>7</v>
      </c>
      <c r="BK114" s="3">
        <v>9</v>
      </c>
      <c r="BL114" s="3">
        <v>10</v>
      </c>
      <c r="BM114" s="3">
        <v>14</v>
      </c>
      <c r="BN114" s="3">
        <v>7</v>
      </c>
      <c r="BO114" s="3">
        <v>6</v>
      </c>
      <c r="BP114" s="20">
        <v>0</v>
      </c>
      <c r="BQ114" s="65">
        <v>5.5</v>
      </c>
      <c r="BR114" s="3">
        <v>6</v>
      </c>
      <c r="BS114" s="3">
        <v>6</v>
      </c>
      <c r="BT114" s="3">
        <v>6</v>
      </c>
      <c r="BU114" s="3">
        <v>6</v>
      </c>
      <c r="BV114" s="3">
        <v>7</v>
      </c>
      <c r="BW114" s="3">
        <v>6</v>
      </c>
      <c r="BX114" s="3">
        <v>6</v>
      </c>
      <c r="BY114" s="3">
        <v>5</v>
      </c>
      <c r="BZ114" s="3">
        <v>4</v>
      </c>
      <c r="CA114" s="3">
        <v>3</v>
      </c>
      <c r="CB114" s="3">
        <v>0</v>
      </c>
      <c r="CC114" s="3">
        <v>0</v>
      </c>
      <c r="CD114" s="16">
        <v>7.4120000000000008</v>
      </c>
      <c r="CE114" s="3">
        <v>4</v>
      </c>
      <c r="CF114" s="3">
        <v>6</v>
      </c>
      <c r="CG114" s="3">
        <v>7</v>
      </c>
      <c r="CH114" s="3">
        <v>7</v>
      </c>
      <c r="CI114" s="3">
        <v>7</v>
      </c>
      <c r="CJ114" s="3">
        <v>8</v>
      </c>
      <c r="CK114" s="3">
        <v>9</v>
      </c>
      <c r="CL114" s="66">
        <v>8.6</v>
      </c>
      <c r="CM114" s="66">
        <v>8.76</v>
      </c>
      <c r="CN114" s="66">
        <v>8.76</v>
      </c>
      <c r="CO114" s="3">
        <v>0</v>
      </c>
      <c r="CP114" s="3">
        <v>0</v>
      </c>
      <c r="CQ114" s="9">
        <v>0.4</v>
      </c>
      <c r="CR114" s="3"/>
      <c r="CS114" s="3"/>
      <c r="CT114" s="3"/>
      <c r="CU114" s="3"/>
      <c r="CV114" s="3"/>
      <c r="CW114" s="3"/>
      <c r="CY114" s="3">
        <v>0</v>
      </c>
      <c r="CZ114" s="3">
        <v>2</v>
      </c>
      <c r="DA114" s="3">
        <v>2</v>
      </c>
      <c r="DB114" s="3">
        <v>0</v>
      </c>
      <c r="DC114" s="3">
        <v>0</v>
      </c>
      <c r="DD114" s="89"/>
      <c r="DE114" s="3"/>
      <c r="DF114" s="3"/>
      <c r="DG114" s="3"/>
      <c r="DH114" s="3"/>
      <c r="DI114" s="3"/>
      <c r="DJ114" s="3"/>
      <c r="DK114" s="3"/>
      <c r="DL114" s="3"/>
      <c r="DM114" s="3"/>
      <c r="DQ114" s="89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89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89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89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102"/>
      <c r="FR114" s="102"/>
      <c r="GA114" s="34"/>
    </row>
    <row r="115" spans="1:183" x14ac:dyDescent="0.25">
      <c r="A115" s="6" t="s">
        <v>159</v>
      </c>
      <c r="B115" s="68" t="s">
        <v>29</v>
      </c>
      <c r="C115" s="1" t="s">
        <v>30</v>
      </c>
      <c r="D115" s="141">
        <f t="shared" si="27"/>
        <v>4.75</v>
      </c>
      <c r="E115" s="141">
        <v>4</v>
      </c>
      <c r="F115" s="141">
        <v>4</v>
      </c>
      <c r="G115" s="141">
        <v>5</v>
      </c>
      <c r="H115" s="141">
        <v>6</v>
      </c>
      <c r="P115" s="77"/>
      <c r="Q115" s="159">
        <f t="shared" si="21"/>
        <v>2.9</v>
      </c>
      <c r="R115" s="141">
        <v>3</v>
      </c>
      <c r="S115" s="141">
        <v>3</v>
      </c>
      <c r="T115" s="141">
        <v>4</v>
      </c>
      <c r="U115" s="141">
        <v>2</v>
      </c>
      <c r="V115" s="141">
        <v>3</v>
      </c>
      <c r="W115" s="141">
        <v>3</v>
      </c>
      <c r="X115" s="141">
        <v>3</v>
      </c>
      <c r="Y115" s="141">
        <v>2</v>
      </c>
      <c r="Z115" s="141">
        <v>3</v>
      </c>
      <c r="AA115" s="141">
        <v>3</v>
      </c>
      <c r="AB115" s="141">
        <v>0</v>
      </c>
      <c r="AC115" s="154">
        <v>0</v>
      </c>
      <c r="AD115" s="159">
        <v>4.1590000000000007</v>
      </c>
      <c r="AE115" s="141">
        <v>4</v>
      </c>
      <c r="AF115" s="141">
        <v>5.53</v>
      </c>
      <c r="AG115" s="141">
        <v>4.53</v>
      </c>
      <c r="AH115" s="141">
        <v>4.53</v>
      </c>
      <c r="AI115" s="141">
        <v>4</v>
      </c>
      <c r="AJ115" s="141">
        <v>2</v>
      </c>
      <c r="AK115" s="141">
        <v>2</v>
      </c>
      <c r="AL115" s="141">
        <v>3</v>
      </c>
      <c r="AM115" s="141">
        <v>4</v>
      </c>
      <c r="AN115" s="141">
        <v>3</v>
      </c>
      <c r="AO115" s="141">
        <v>3</v>
      </c>
      <c r="AP115" s="154">
        <v>2</v>
      </c>
      <c r="AQ115" s="9">
        <f t="shared" si="22"/>
        <v>5.5</v>
      </c>
      <c r="AR115" s="3">
        <v>6</v>
      </c>
      <c r="AS115" s="3">
        <v>7</v>
      </c>
      <c r="AT115" s="3">
        <v>7</v>
      </c>
      <c r="AU115" s="3">
        <v>5</v>
      </c>
      <c r="AV115" s="3">
        <v>5</v>
      </c>
      <c r="AW115" s="3">
        <v>5</v>
      </c>
      <c r="AX115" s="3">
        <v>4</v>
      </c>
      <c r="AY115" s="3">
        <v>3</v>
      </c>
      <c r="AZ115" s="3">
        <v>3</v>
      </c>
      <c r="BA115" s="3">
        <v>4</v>
      </c>
      <c r="BB115" s="3">
        <v>4</v>
      </c>
      <c r="BC115" s="20">
        <v>2</v>
      </c>
      <c r="BD115" s="117">
        <v>4.3</v>
      </c>
      <c r="BE115" s="3">
        <v>1</v>
      </c>
      <c r="BF115" s="3">
        <v>1</v>
      </c>
      <c r="BG115" s="3">
        <v>1</v>
      </c>
      <c r="BH115" s="3">
        <v>4</v>
      </c>
      <c r="BI115" s="3">
        <v>4</v>
      </c>
      <c r="BJ115" s="3">
        <v>3</v>
      </c>
      <c r="BK115" s="3">
        <v>5</v>
      </c>
      <c r="BL115" s="3">
        <v>7</v>
      </c>
      <c r="BM115" s="3">
        <v>4</v>
      </c>
      <c r="BN115" s="3">
        <v>4</v>
      </c>
      <c r="BO115" s="3">
        <v>5</v>
      </c>
      <c r="BP115" s="20">
        <v>4</v>
      </c>
      <c r="BQ115" s="65">
        <v>1</v>
      </c>
      <c r="BR115" s="3">
        <v>0</v>
      </c>
      <c r="BS115" s="3">
        <v>0</v>
      </c>
      <c r="BT115" s="3">
        <v>0</v>
      </c>
      <c r="BU115" s="3">
        <v>1</v>
      </c>
      <c r="BV115" s="3">
        <v>1</v>
      </c>
      <c r="BW115" s="3">
        <v>1</v>
      </c>
      <c r="BX115" s="3">
        <v>2</v>
      </c>
      <c r="BY115" s="3">
        <v>2</v>
      </c>
      <c r="BZ115" s="3">
        <v>1</v>
      </c>
      <c r="CA115" s="3">
        <v>0</v>
      </c>
      <c r="CB115" s="3">
        <v>1</v>
      </c>
      <c r="CC115" s="3">
        <v>1</v>
      </c>
      <c r="CD115" s="16">
        <v>0.8</v>
      </c>
      <c r="CE115" s="3">
        <v>1</v>
      </c>
      <c r="CF115" s="3">
        <v>2</v>
      </c>
      <c r="CG115" s="3">
        <v>1</v>
      </c>
      <c r="CH115" s="3">
        <v>0</v>
      </c>
      <c r="CI115" s="3">
        <v>1</v>
      </c>
      <c r="CJ115" s="3">
        <v>1</v>
      </c>
      <c r="CK115" s="3">
        <v>0</v>
      </c>
      <c r="CL115" s="66">
        <v>1</v>
      </c>
      <c r="CM115" s="66">
        <v>0.5</v>
      </c>
      <c r="CN115" s="66">
        <v>0.5</v>
      </c>
      <c r="CO115" s="3">
        <v>0</v>
      </c>
      <c r="CP115" s="3">
        <v>0</v>
      </c>
      <c r="CQ115" s="9">
        <v>3.5</v>
      </c>
      <c r="CR115" s="3">
        <v>1</v>
      </c>
      <c r="CS115" s="3">
        <v>3</v>
      </c>
      <c r="CT115" s="3">
        <v>4</v>
      </c>
      <c r="CU115" s="3">
        <v>4</v>
      </c>
      <c r="CV115" s="3">
        <v>4</v>
      </c>
      <c r="CW115" s="3">
        <v>3</v>
      </c>
      <c r="CX115" s="3">
        <v>4</v>
      </c>
      <c r="CY115" s="3">
        <v>4</v>
      </c>
      <c r="CZ115" s="3">
        <v>2</v>
      </c>
      <c r="DA115" s="3">
        <v>2</v>
      </c>
      <c r="DB115" s="3">
        <v>3</v>
      </c>
      <c r="DC115" s="3">
        <v>1</v>
      </c>
      <c r="DD115" s="9">
        <v>2.4</v>
      </c>
      <c r="DE115" s="3">
        <v>2</v>
      </c>
      <c r="DF115" s="3">
        <v>0</v>
      </c>
      <c r="DG115" s="3">
        <v>5</v>
      </c>
      <c r="DH115" s="3">
        <v>4</v>
      </c>
      <c r="DI115" s="3">
        <v>2</v>
      </c>
      <c r="DJ115" s="3">
        <v>4</v>
      </c>
      <c r="DK115" s="3">
        <v>2</v>
      </c>
      <c r="DL115" s="3">
        <v>1</v>
      </c>
      <c r="DM115" s="3">
        <v>1</v>
      </c>
      <c r="DN115" s="3">
        <v>1</v>
      </c>
      <c r="DO115" s="3">
        <v>1</v>
      </c>
      <c r="DP115" s="20">
        <v>1</v>
      </c>
      <c r="DQ115" s="9">
        <v>1.9600000000000002</v>
      </c>
      <c r="DR115" s="3">
        <v>2</v>
      </c>
      <c r="DS115" s="3">
        <v>4</v>
      </c>
      <c r="DT115" s="3">
        <v>3</v>
      </c>
      <c r="DU115" s="3">
        <v>1</v>
      </c>
      <c r="DV115" s="3">
        <v>2</v>
      </c>
      <c r="DW115" s="3">
        <v>1</v>
      </c>
      <c r="DX115" s="3">
        <v>1</v>
      </c>
      <c r="DY115" s="3">
        <v>1</v>
      </c>
      <c r="DZ115" s="3">
        <v>1</v>
      </c>
      <c r="EA115" s="3">
        <v>2.6</v>
      </c>
      <c r="EB115" s="3">
        <v>1</v>
      </c>
      <c r="EC115" s="3">
        <v>0</v>
      </c>
      <c r="ED115" s="9">
        <f t="shared" si="28"/>
        <v>2</v>
      </c>
      <c r="EE115" s="3">
        <v>2</v>
      </c>
      <c r="EF115" s="3">
        <v>1</v>
      </c>
      <c r="EG115" s="3">
        <v>0</v>
      </c>
      <c r="EH115" s="3">
        <v>1</v>
      </c>
      <c r="EI115" s="3">
        <v>2</v>
      </c>
      <c r="EJ115" s="3">
        <v>1</v>
      </c>
      <c r="EK115" s="3">
        <v>1</v>
      </c>
      <c r="EL115" s="3">
        <v>2</v>
      </c>
      <c r="EM115" s="3">
        <v>2</v>
      </c>
      <c r="EN115" s="3">
        <v>4</v>
      </c>
      <c r="EO115" s="3">
        <v>2</v>
      </c>
      <c r="EP115" s="3">
        <v>2</v>
      </c>
      <c r="EQ115" s="9">
        <f t="shared" si="26"/>
        <v>1.7</v>
      </c>
      <c r="ER115" s="3">
        <v>1</v>
      </c>
      <c r="ES115" s="3">
        <v>0</v>
      </c>
      <c r="ET115" s="3">
        <v>2</v>
      </c>
      <c r="EU115" s="3">
        <v>2</v>
      </c>
      <c r="EV115" s="3">
        <v>1</v>
      </c>
      <c r="EW115" s="3">
        <v>1</v>
      </c>
      <c r="EX115" s="3">
        <v>1</v>
      </c>
      <c r="EY115" s="3">
        <v>2</v>
      </c>
      <c r="EZ115" s="3">
        <v>1</v>
      </c>
      <c r="FA115" s="3">
        <v>2</v>
      </c>
      <c r="FB115" s="3">
        <v>2</v>
      </c>
      <c r="FC115" s="3">
        <v>2</v>
      </c>
      <c r="FD115" s="69">
        <f t="shared" si="29"/>
        <v>1.4</v>
      </c>
      <c r="FE115" s="3">
        <v>0</v>
      </c>
      <c r="FF115" s="3">
        <v>0</v>
      </c>
      <c r="FG115" s="3">
        <v>0</v>
      </c>
      <c r="FH115" s="3">
        <v>2</v>
      </c>
      <c r="FI115" s="3">
        <v>2</v>
      </c>
      <c r="FJ115" s="3">
        <v>3</v>
      </c>
      <c r="FK115" s="3">
        <v>4</v>
      </c>
      <c r="FL115" s="3">
        <v>1</v>
      </c>
      <c r="FM115" s="3">
        <v>1</v>
      </c>
      <c r="FN115" s="3">
        <v>0</v>
      </c>
      <c r="FO115" s="3">
        <v>0</v>
      </c>
      <c r="FP115" s="3">
        <v>1</v>
      </c>
      <c r="FQ115" s="16">
        <v>1.4</v>
      </c>
      <c r="FR115" s="102"/>
      <c r="GA115" s="34"/>
    </row>
    <row r="116" spans="1:183" x14ac:dyDescent="0.25">
      <c r="A116" s="6" t="s">
        <v>159</v>
      </c>
      <c r="B116" s="68" t="s">
        <v>31</v>
      </c>
      <c r="C116" s="1" t="s">
        <v>32</v>
      </c>
      <c r="D116" s="141">
        <f t="shared" si="27"/>
        <v>42.5</v>
      </c>
      <c r="E116" s="141">
        <v>38</v>
      </c>
      <c r="F116" s="141">
        <v>42</v>
      </c>
      <c r="G116" s="141">
        <v>45</v>
      </c>
      <c r="H116" s="141">
        <v>45</v>
      </c>
      <c r="P116" s="77"/>
      <c r="Q116" s="159">
        <f t="shared" si="21"/>
        <v>53.2</v>
      </c>
      <c r="R116" s="141">
        <v>39</v>
      </c>
      <c r="S116" s="141">
        <v>47</v>
      </c>
      <c r="T116" s="141">
        <v>58</v>
      </c>
      <c r="U116" s="141">
        <v>51</v>
      </c>
      <c r="V116" s="141">
        <v>52</v>
      </c>
      <c r="W116" s="141">
        <v>53</v>
      </c>
      <c r="X116" s="141">
        <v>52</v>
      </c>
      <c r="Y116" s="141">
        <v>49</v>
      </c>
      <c r="Z116" s="141">
        <v>45</v>
      </c>
      <c r="AA116" s="141">
        <v>45</v>
      </c>
      <c r="AB116" s="141">
        <v>29</v>
      </c>
      <c r="AC116" s="154">
        <v>12</v>
      </c>
      <c r="AD116" s="159">
        <v>57.378999999999998</v>
      </c>
      <c r="AE116" s="141">
        <v>51</v>
      </c>
      <c r="AF116" s="141">
        <v>45.2</v>
      </c>
      <c r="AG116" s="141">
        <v>55.2</v>
      </c>
      <c r="AH116" s="141">
        <v>51.2</v>
      </c>
      <c r="AI116" s="141">
        <v>43.33</v>
      </c>
      <c r="AJ116" s="141">
        <v>44.33</v>
      </c>
      <c r="AK116" s="141">
        <v>55.33</v>
      </c>
      <c r="AL116" s="141">
        <v>54</v>
      </c>
      <c r="AM116" s="141">
        <v>54</v>
      </c>
      <c r="AN116" s="141">
        <v>54.2</v>
      </c>
      <c r="AO116" s="141">
        <v>43</v>
      </c>
      <c r="AP116" s="154">
        <v>23</v>
      </c>
      <c r="AQ116" s="9">
        <f t="shared" si="22"/>
        <v>49.578999999999994</v>
      </c>
      <c r="AR116" s="3">
        <v>26.2</v>
      </c>
      <c r="AS116" s="3">
        <v>38</v>
      </c>
      <c r="AT116" s="3">
        <v>47</v>
      </c>
      <c r="AU116" s="3">
        <v>45</v>
      </c>
      <c r="AV116" s="3">
        <v>37.729999999999997</v>
      </c>
      <c r="AW116" s="3">
        <v>43</v>
      </c>
      <c r="AX116" s="3">
        <v>42.93</v>
      </c>
      <c r="AY116" s="3">
        <v>54.33</v>
      </c>
      <c r="AZ116" s="3">
        <v>48.6</v>
      </c>
      <c r="BA116" s="3">
        <v>52</v>
      </c>
      <c r="BB116" s="3">
        <v>37</v>
      </c>
      <c r="BC116" s="20">
        <v>24</v>
      </c>
      <c r="BD116" s="117">
        <v>37.92</v>
      </c>
      <c r="BE116" s="3">
        <v>28.6</v>
      </c>
      <c r="BF116" s="3">
        <v>19</v>
      </c>
      <c r="BG116" s="3">
        <v>39.6</v>
      </c>
      <c r="BH116" s="3">
        <v>49.2</v>
      </c>
      <c r="BI116" s="3">
        <v>44.2</v>
      </c>
      <c r="BJ116" s="3">
        <v>37.4</v>
      </c>
      <c r="BK116" s="3">
        <v>36.94</v>
      </c>
      <c r="BL116" s="3">
        <v>42.13</v>
      </c>
      <c r="BM116" s="3">
        <v>42.6</v>
      </c>
      <c r="BN116" s="3">
        <v>39.53</v>
      </c>
      <c r="BO116" s="3">
        <v>0</v>
      </c>
      <c r="BP116" s="20">
        <v>0</v>
      </c>
      <c r="BQ116" s="65">
        <v>43.321999999999996</v>
      </c>
      <c r="BR116" s="3">
        <v>24.6</v>
      </c>
      <c r="BS116" s="3">
        <v>33.200000000000003</v>
      </c>
      <c r="BT116" s="3">
        <v>39.200000000000003</v>
      </c>
      <c r="BU116" s="3">
        <v>40.6</v>
      </c>
      <c r="BV116" s="3">
        <v>45.4</v>
      </c>
      <c r="BW116" s="3">
        <v>47.2</v>
      </c>
      <c r="BX116" s="3">
        <v>51.8</v>
      </c>
      <c r="BY116" s="3">
        <v>60.02</v>
      </c>
      <c r="BZ116" s="3">
        <v>45.2</v>
      </c>
      <c r="CA116" s="3">
        <v>46</v>
      </c>
      <c r="CB116" s="3">
        <v>0</v>
      </c>
      <c r="CC116" s="3">
        <v>0</v>
      </c>
      <c r="CD116" s="16">
        <v>50.565999999999995</v>
      </c>
      <c r="CE116" s="3">
        <v>32.6</v>
      </c>
      <c r="CF116" s="3">
        <v>52.47</v>
      </c>
      <c r="CG116" s="3">
        <v>53.47</v>
      </c>
      <c r="CH116" s="3">
        <v>41.47</v>
      </c>
      <c r="CI116" s="3">
        <v>45.33</v>
      </c>
      <c r="CJ116" s="3">
        <v>52.33</v>
      </c>
      <c r="CK116" s="3">
        <v>54</v>
      </c>
      <c r="CL116" s="66">
        <v>61.79</v>
      </c>
      <c r="CM116" s="66">
        <v>61.76</v>
      </c>
      <c r="CN116" s="66">
        <v>50.44</v>
      </c>
      <c r="CO116" s="3">
        <v>0</v>
      </c>
      <c r="CP116" s="3">
        <v>0</v>
      </c>
      <c r="CQ116" s="9">
        <v>60.938000000000009</v>
      </c>
      <c r="CR116" s="3">
        <v>47.2</v>
      </c>
      <c r="CS116" s="3">
        <v>52.6</v>
      </c>
      <c r="CT116" s="3">
        <v>64.599999999999994</v>
      </c>
      <c r="CU116" s="3">
        <v>57</v>
      </c>
      <c r="CV116" s="3">
        <v>50</v>
      </c>
      <c r="CW116" s="3">
        <v>64.47</v>
      </c>
      <c r="CX116" s="3">
        <v>55.47</v>
      </c>
      <c r="CY116" s="3">
        <v>65.5</v>
      </c>
      <c r="CZ116" s="3">
        <v>65.47</v>
      </c>
      <c r="DA116" s="3">
        <v>53.47</v>
      </c>
      <c r="DB116" s="3">
        <v>33.6</v>
      </c>
      <c r="DC116" s="3">
        <v>0</v>
      </c>
      <c r="DD116" s="9">
        <v>59.433000000000007</v>
      </c>
      <c r="DE116" s="3">
        <v>29.53</v>
      </c>
      <c r="DF116" s="3">
        <v>37.4</v>
      </c>
      <c r="DG116" s="3">
        <v>44.4</v>
      </c>
      <c r="DH116" s="3">
        <v>55</v>
      </c>
      <c r="DI116" s="3">
        <v>47.4</v>
      </c>
      <c r="DJ116" s="3">
        <v>55.4</v>
      </c>
      <c r="DK116" s="3">
        <v>56.4</v>
      </c>
      <c r="DL116" s="3">
        <v>62.8</v>
      </c>
      <c r="DM116" s="3">
        <v>63.8</v>
      </c>
      <c r="DN116" s="3">
        <v>67.400000000000006</v>
      </c>
      <c r="DO116" s="3">
        <v>42.2</v>
      </c>
      <c r="DP116" s="20">
        <v>32.6</v>
      </c>
      <c r="DQ116" s="9">
        <v>47.160000000000004</v>
      </c>
      <c r="DR116" s="3">
        <v>30</v>
      </c>
      <c r="DS116" s="3">
        <v>36.6</v>
      </c>
      <c r="DT116" s="3">
        <v>43.6</v>
      </c>
      <c r="DU116" s="3">
        <v>43.6</v>
      </c>
      <c r="DV116" s="3">
        <v>45.6</v>
      </c>
      <c r="DW116" s="3">
        <v>37.200000000000003</v>
      </c>
      <c r="DX116" s="3">
        <v>38.6</v>
      </c>
      <c r="DY116" s="3">
        <v>46.8</v>
      </c>
      <c r="DZ116" s="3">
        <v>41.8</v>
      </c>
      <c r="EA116" s="3">
        <v>43</v>
      </c>
      <c r="EB116" s="3">
        <v>37</v>
      </c>
      <c r="EC116" s="3">
        <v>27.8</v>
      </c>
      <c r="ED116" s="9">
        <f t="shared" si="28"/>
        <v>51.12</v>
      </c>
      <c r="EE116" s="3">
        <v>31</v>
      </c>
      <c r="EF116" s="3">
        <v>58.6</v>
      </c>
      <c r="EG116" s="3">
        <v>39.6</v>
      </c>
      <c r="EH116" s="3">
        <v>44</v>
      </c>
      <c r="EI116" s="3">
        <v>48</v>
      </c>
      <c r="EJ116" s="3">
        <v>46</v>
      </c>
      <c r="EK116" s="3">
        <v>52</v>
      </c>
      <c r="EL116" s="3">
        <v>47</v>
      </c>
      <c r="EM116" s="3">
        <v>47</v>
      </c>
      <c r="EN116" s="3">
        <v>51</v>
      </c>
      <c r="EO116" s="3">
        <v>31</v>
      </c>
      <c r="EP116" s="3">
        <v>16</v>
      </c>
      <c r="EQ116" s="9">
        <f t="shared" si="26"/>
        <v>57.9</v>
      </c>
      <c r="ER116" s="3">
        <v>39.6</v>
      </c>
      <c r="ES116" s="3">
        <v>58.6</v>
      </c>
      <c r="ET116" s="3">
        <v>61.6</v>
      </c>
      <c r="EU116" s="3">
        <v>63.6</v>
      </c>
      <c r="EV116" s="3">
        <v>49.6</v>
      </c>
      <c r="EW116" s="3">
        <v>53.2</v>
      </c>
      <c r="EX116" s="3">
        <v>47.2</v>
      </c>
      <c r="EY116" s="3">
        <v>49.6</v>
      </c>
      <c r="EZ116" s="3">
        <v>45</v>
      </c>
      <c r="FA116" s="3">
        <v>52</v>
      </c>
      <c r="FB116" s="3">
        <v>30</v>
      </c>
      <c r="FC116" s="3">
        <v>29</v>
      </c>
      <c r="FD116" s="69">
        <f t="shared" si="29"/>
        <v>39.96</v>
      </c>
      <c r="FE116" s="3">
        <v>18</v>
      </c>
      <c r="FF116" s="3">
        <v>22</v>
      </c>
      <c r="FG116" s="3">
        <v>27</v>
      </c>
      <c r="FH116" s="3">
        <v>27</v>
      </c>
      <c r="FI116" s="3">
        <v>24</v>
      </c>
      <c r="FJ116" s="3">
        <v>30</v>
      </c>
      <c r="FK116" s="3">
        <v>35.6</v>
      </c>
      <c r="FL116" s="3">
        <v>45</v>
      </c>
      <c r="FM116" s="3">
        <v>43</v>
      </c>
      <c r="FN116" s="3">
        <v>53</v>
      </c>
      <c r="FO116" s="3">
        <v>44</v>
      </c>
      <c r="FP116" s="3">
        <v>31</v>
      </c>
      <c r="FQ116" s="16">
        <v>6.6</v>
      </c>
      <c r="FR116" s="102"/>
      <c r="GA116" s="34"/>
    </row>
    <row r="117" spans="1:183" x14ac:dyDescent="0.25">
      <c r="A117" s="6"/>
      <c r="B117" s="25" t="s">
        <v>406</v>
      </c>
      <c r="C117" s="1" t="s">
        <v>407</v>
      </c>
      <c r="D117" s="141">
        <f t="shared" si="27"/>
        <v>27.5</v>
      </c>
      <c r="E117" s="141">
        <v>25</v>
      </c>
      <c r="F117" s="141">
        <v>23</v>
      </c>
      <c r="G117" s="141">
        <v>29</v>
      </c>
      <c r="H117" s="141">
        <v>33</v>
      </c>
      <c r="P117" s="77"/>
      <c r="Q117" s="159">
        <f t="shared" si="21"/>
        <v>19.7</v>
      </c>
      <c r="R117" s="141">
        <v>0</v>
      </c>
      <c r="S117" s="141">
        <v>15</v>
      </c>
      <c r="T117" s="141">
        <v>18</v>
      </c>
      <c r="U117" s="141">
        <v>19</v>
      </c>
      <c r="V117" s="141">
        <v>22</v>
      </c>
      <c r="W117" s="141">
        <v>18</v>
      </c>
      <c r="X117" s="141">
        <v>19</v>
      </c>
      <c r="Y117" s="141">
        <v>16</v>
      </c>
      <c r="Z117" s="141">
        <v>17</v>
      </c>
      <c r="AA117" s="141">
        <v>18</v>
      </c>
      <c r="AB117" s="141">
        <v>20</v>
      </c>
      <c r="AC117" s="154">
        <v>15</v>
      </c>
      <c r="AD117" s="159">
        <v>0</v>
      </c>
      <c r="AE117" s="87"/>
      <c r="AF117" s="87"/>
      <c r="AG117" s="87"/>
      <c r="AH117" s="87"/>
      <c r="AI117" s="87"/>
      <c r="AJ117" s="87"/>
      <c r="AK117" s="87"/>
      <c r="AL117" s="87"/>
      <c r="AM117" s="141">
        <v>0</v>
      </c>
      <c r="AN117" s="141">
        <v>0</v>
      </c>
      <c r="AO117" s="141">
        <v>0</v>
      </c>
      <c r="AP117" s="154">
        <v>0</v>
      </c>
      <c r="AQ117" s="91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9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91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91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9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91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9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91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9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91"/>
      <c r="FR117" s="102"/>
      <c r="GA117" s="34"/>
    </row>
    <row r="118" spans="1:183" x14ac:dyDescent="0.25">
      <c r="A118" s="6"/>
      <c r="B118" s="25" t="s">
        <v>409</v>
      </c>
      <c r="C118" s="1" t="s">
        <v>408</v>
      </c>
      <c r="D118" s="141">
        <f t="shared" si="27"/>
        <v>21</v>
      </c>
      <c r="E118" s="141">
        <v>23</v>
      </c>
      <c r="F118" s="141">
        <v>21</v>
      </c>
      <c r="G118" s="141">
        <v>21</v>
      </c>
      <c r="H118" s="141">
        <v>19</v>
      </c>
      <c r="P118" s="77"/>
      <c r="Q118" s="159">
        <f t="shared" si="21"/>
        <v>22</v>
      </c>
      <c r="R118" s="141">
        <v>13</v>
      </c>
      <c r="S118" s="141">
        <v>18</v>
      </c>
      <c r="T118" s="141">
        <v>20</v>
      </c>
      <c r="U118" s="141">
        <v>20</v>
      </c>
      <c r="V118" s="141">
        <v>22</v>
      </c>
      <c r="W118" s="141">
        <v>22</v>
      </c>
      <c r="X118" s="141">
        <v>23</v>
      </c>
      <c r="Y118" s="141">
        <v>24</v>
      </c>
      <c r="Z118" s="141">
        <v>28</v>
      </c>
      <c r="AA118" s="141">
        <v>24</v>
      </c>
      <c r="AB118" s="141">
        <v>3</v>
      </c>
      <c r="AC118" s="154">
        <v>3</v>
      </c>
      <c r="AD118" s="159">
        <v>0</v>
      </c>
      <c r="AE118" s="87"/>
      <c r="AF118" s="87"/>
      <c r="AG118" s="87"/>
      <c r="AH118" s="87"/>
      <c r="AI118" s="87"/>
      <c r="AJ118" s="87"/>
      <c r="AK118" s="87"/>
      <c r="AL118" s="87"/>
      <c r="AM118" s="141">
        <v>0</v>
      </c>
      <c r="AN118" s="141">
        <v>0</v>
      </c>
      <c r="AO118" s="141">
        <v>0</v>
      </c>
      <c r="AP118" s="154">
        <v>0</v>
      </c>
      <c r="AQ118" s="89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9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91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9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9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9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9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87"/>
      <c r="EQ118" s="89"/>
      <c r="ER118" s="87"/>
      <c r="ES118" s="87"/>
      <c r="ET118" s="87"/>
      <c r="EU118" s="87"/>
      <c r="EV118" s="87"/>
      <c r="EW118" s="87"/>
      <c r="EX118" s="87"/>
      <c r="EY118" s="87"/>
      <c r="EZ118" s="87"/>
      <c r="FA118" s="87"/>
      <c r="FB118" s="87"/>
      <c r="FC118" s="87"/>
      <c r="FD118" s="89"/>
      <c r="FE118" s="87"/>
      <c r="FF118" s="87"/>
      <c r="FG118" s="87"/>
      <c r="FH118" s="87"/>
      <c r="FI118" s="87"/>
      <c r="FJ118" s="87"/>
      <c r="FK118" s="87"/>
      <c r="FL118" s="87"/>
      <c r="FM118" s="87"/>
      <c r="FN118" s="87"/>
      <c r="FO118" s="87"/>
      <c r="FP118" s="87"/>
      <c r="FQ118" s="91"/>
      <c r="FR118" s="102"/>
      <c r="GA118" s="34"/>
    </row>
    <row r="119" spans="1:183" x14ac:dyDescent="0.25">
      <c r="A119" s="6"/>
      <c r="B119" s="25" t="s">
        <v>323</v>
      </c>
      <c r="C119" s="1" t="s">
        <v>320</v>
      </c>
      <c r="D119" s="141">
        <f t="shared" si="27"/>
        <v>3</v>
      </c>
      <c r="E119" s="141">
        <v>1</v>
      </c>
      <c r="F119" s="141">
        <v>3</v>
      </c>
      <c r="G119" s="141">
        <v>4</v>
      </c>
      <c r="H119" s="141">
        <v>4</v>
      </c>
      <c r="P119" s="77"/>
      <c r="Q119" s="159">
        <f t="shared" si="21"/>
        <v>5.0999999999999996</v>
      </c>
      <c r="R119" s="141">
        <v>3</v>
      </c>
      <c r="S119" s="141">
        <v>4</v>
      </c>
      <c r="T119" s="141">
        <v>4</v>
      </c>
      <c r="U119" s="141">
        <v>5</v>
      </c>
      <c r="V119" s="141">
        <v>6</v>
      </c>
      <c r="W119" s="141">
        <v>8</v>
      </c>
      <c r="X119" s="141">
        <v>7</v>
      </c>
      <c r="Y119" s="141">
        <v>6</v>
      </c>
      <c r="Z119" s="141">
        <v>4</v>
      </c>
      <c r="AA119" s="141">
        <v>4</v>
      </c>
      <c r="AB119" s="141">
        <v>0</v>
      </c>
      <c r="AC119" s="154">
        <v>0</v>
      </c>
      <c r="AD119" s="159">
        <v>2.0350000000000001</v>
      </c>
      <c r="AE119" s="141">
        <v>3.35</v>
      </c>
      <c r="AF119" s="141">
        <v>4</v>
      </c>
      <c r="AG119" s="141">
        <v>2</v>
      </c>
      <c r="AH119" s="141">
        <v>1</v>
      </c>
      <c r="AI119" s="141">
        <v>1</v>
      </c>
      <c r="AJ119" s="141">
        <v>0</v>
      </c>
      <c r="AK119" s="141">
        <v>1</v>
      </c>
      <c r="AL119" s="141">
        <v>2</v>
      </c>
      <c r="AM119" s="141">
        <v>2</v>
      </c>
      <c r="AN119" s="141">
        <v>3</v>
      </c>
      <c r="AO119" s="141">
        <v>0</v>
      </c>
      <c r="AP119" s="154">
        <v>1</v>
      </c>
      <c r="AQ119" s="9">
        <f t="shared" si="22"/>
        <v>2.5</v>
      </c>
      <c r="AR119" s="3">
        <v>0</v>
      </c>
      <c r="AS119" s="3">
        <v>2</v>
      </c>
      <c r="AT119" s="3">
        <v>2</v>
      </c>
      <c r="AU119" s="3">
        <v>2</v>
      </c>
      <c r="AV119" s="3">
        <v>1</v>
      </c>
      <c r="AW119" s="3">
        <v>1</v>
      </c>
      <c r="AX119" s="3">
        <v>2</v>
      </c>
      <c r="AY119" s="3">
        <v>3</v>
      </c>
      <c r="AZ119" s="3">
        <v>4</v>
      </c>
      <c r="BA119" s="3">
        <v>4</v>
      </c>
      <c r="BB119" s="3">
        <v>3</v>
      </c>
      <c r="BC119" s="3">
        <v>1</v>
      </c>
      <c r="BD119" s="117">
        <v>1.2</v>
      </c>
      <c r="BE119" s="3">
        <v>1</v>
      </c>
      <c r="BF119" s="3">
        <v>1</v>
      </c>
      <c r="BG119" s="3">
        <v>0</v>
      </c>
      <c r="BH119" s="3">
        <v>1</v>
      </c>
      <c r="BI119" s="3">
        <v>1</v>
      </c>
      <c r="BJ119" s="3">
        <v>1</v>
      </c>
      <c r="BK119" s="3">
        <v>1</v>
      </c>
      <c r="BL119" s="3">
        <v>2</v>
      </c>
      <c r="BM119" s="3">
        <v>2</v>
      </c>
      <c r="BN119" s="3">
        <v>2</v>
      </c>
      <c r="BO119" s="3">
        <v>0</v>
      </c>
      <c r="BP119" s="3">
        <v>0</v>
      </c>
      <c r="BQ119" s="117">
        <v>2.5</v>
      </c>
      <c r="BR119" s="3">
        <v>2</v>
      </c>
      <c r="BS119" s="3">
        <v>3</v>
      </c>
      <c r="BT119" s="3">
        <v>2</v>
      </c>
      <c r="BU119" s="3">
        <v>1</v>
      </c>
      <c r="BV119" s="3">
        <v>1</v>
      </c>
      <c r="BW119" s="3">
        <v>3</v>
      </c>
      <c r="BX119" s="3">
        <v>2</v>
      </c>
      <c r="BY119" s="3">
        <v>4</v>
      </c>
      <c r="BZ119" s="3">
        <v>4</v>
      </c>
      <c r="CA119" s="3">
        <v>3</v>
      </c>
      <c r="CB119" s="3">
        <v>0</v>
      </c>
      <c r="CC119" s="3">
        <v>0</v>
      </c>
      <c r="CD119" s="16">
        <v>2.5</v>
      </c>
      <c r="CE119" s="3">
        <v>0</v>
      </c>
      <c r="CF119" s="3">
        <v>3</v>
      </c>
      <c r="CG119" s="3">
        <v>2</v>
      </c>
      <c r="CH119" s="3">
        <v>2</v>
      </c>
      <c r="CI119" s="3">
        <v>2</v>
      </c>
      <c r="CJ119" s="3">
        <v>2</v>
      </c>
      <c r="CK119" s="3">
        <v>4</v>
      </c>
      <c r="CL119" s="66">
        <v>4</v>
      </c>
      <c r="CM119" s="66">
        <v>4</v>
      </c>
      <c r="CN119" s="66">
        <v>2</v>
      </c>
      <c r="CO119" s="3">
        <v>0</v>
      </c>
      <c r="CP119" s="3">
        <v>0</v>
      </c>
      <c r="CQ119" s="9">
        <v>0.8</v>
      </c>
      <c r="CR119" s="3">
        <v>0</v>
      </c>
      <c r="CS119" s="3">
        <v>0</v>
      </c>
      <c r="CT119" s="3">
        <v>0</v>
      </c>
      <c r="CU119" s="3">
        <v>0</v>
      </c>
      <c r="CV119" s="3">
        <v>1</v>
      </c>
      <c r="CW119" s="3">
        <v>1</v>
      </c>
      <c r="CX119" s="3">
        <v>1</v>
      </c>
      <c r="CY119" s="3">
        <v>2</v>
      </c>
      <c r="CZ119" s="3">
        <v>2</v>
      </c>
      <c r="DA119" s="3">
        <v>1</v>
      </c>
      <c r="DB119" s="3">
        <v>0</v>
      </c>
      <c r="DC119" s="3">
        <v>0</v>
      </c>
      <c r="DD119" s="89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20"/>
      <c r="DQ119" s="89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89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89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97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91"/>
      <c r="FR119" s="102"/>
      <c r="GA119" s="34"/>
    </row>
    <row r="120" spans="1:183" x14ac:dyDescent="0.25">
      <c r="A120" s="6"/>
      <c r="B120" s="25" t="s">
        <v>373</v>
      </c>
      <c r="C120" s="1" t="s">
        <v>372</v>
      </c>
      <c r="D120" s="141">
        <f t="shared" si="27"/>
        <v>19.5</v>
      </c>
      <c r="E120" s="141">
        <v>11</v>
      </c>
      <c r="F120" s="141">
        <v>21</v>
      </c>
      <c r="G120" s="141">
        <v>22</v>
      </c>
      <c r="H120" s="141">
        <v>24</v>
      </c>
      <c r="P120" s="77"/>
      <c r="Q120" s="159">
        <f t="shared" si="21"/>
        <v>10.9</v>
      </c>
      <c r="R120" s="141">
        <v>4</v>
      </c>
      <c r="S120" s="141">
        <v>8</v>
      </c>
      <c r="T120" s="141">
        <v>8</v>
      </c>
      <c r="U120" s="141">
        <v>9</v>
      </c>
      <c r="V120" s="141">
        <v>10</v>
      </c>
      <c r="W120" s="141">
        <v>7</v>
      </c>
      <c r="X120" s="141">
        <v>14</v>
      </c>
      <c r="Y120" s="141">
        <v>16</v>
      </c>
      <c r="Z120" s="141">
        <v>15</v>
      </c>
      <c r="AA120" s="141">
        <v>13</v>
      </c>
      <c r="AB120" s="141">
        <v>2</v>
      </c>
      <c r="AC120" s="154">
        <v>3</v>
      </c>
      <c r="AD120" s="159">
        <v>14.9</v>
      </c>
      <c r="AE120" s="141">
        <v>10</v>
      </c>
      <c r="AF120" s="141">
        <v>12</v>
      </c>
      <c r="AG120" s="141">
        <v>13</v>
      </c>
      <c r="AH120" s="141">
        <v>14</v>
      </c>
      <c r="AI120" s="141">
        <v>17</v>
      </c>
      <c r="AJ120" s="141">
        <v>15</v>
      </c>
      <c r="AK120" s="141">
        <v>17</v>
      </c>
      <c r="AL120" s="141">
        <v>18</v>
      </c>
      <c r="AM120" s="141">
        <v>16</v>
      </c>
      <c r="AN120" s="141">
        <v>12</v>
      </c>
      <c r="AO120" s="141">
        <v>4</v>
      </c>
      <c r="AP120" s="154">
        <v>1</v>
      </c>
      <c r="AQ120" s="9">
        <f t="shared" si="22"/>
        <v>10.199999999999999</v>
      </c>
      <c r="AR120" s="3">
        <v>7</v>
      </c>
      <c r="AS120" s="3">
        <v>9</v>
      </c>
      <c r="AT120" s="3">
        <v>9</v>
      </c>
      <c r="AU120" s="3">
        <v>11</v>
      </c>
      <c r="AV120" s="3">
        <v>11</v>
      </c>
      <c r="AW120" s="3">
        <v>9</v>
      </c>
      <c r="AX120" s="3">
        <v>10</v>
      </c>
      <c r="AY120" s="3">
        <v>9</v>
      </c>
      <c r="AZ120" s="3">
        <v>8</v>
      </c>
      <c r="BA120" s="3">
        <v>10</v>
      </c>
      <c r="BB120" s="3">
        <v>6</v>
      </c>
      <c r="BC120" s="3">
        <v>3</v>
      </c>
      <c r="BD120" s="117">
        <v>5.0999999999999996</v>
      </c>
      <c r="BE120" s="3">
        <v>2</v>
      </c>
      <c r="BF120" s="3">
        <v>4</v>
      </c>
      <c r="BG120" s="3">
        <v>6</v>
      </c>
      <c r="BH120" s="3">
        <v>6</v>
      </c>
      <c r="BI120" s="3">
        <v>5</v>
      </c>
      <c r="BJ120" s="3">
        <v>5</v>
      </c>
      <c r="BK120" s="3">
        <v>4</v>
      </c>
      <c r="BL120" s="3">
        <v>4</v>
      </c>
      <c r="BM120" s="3">
        <v>4</v>
      </c>
      <c r="BN120" s="3">
        <v>4</v>
      </c>
      <c r="BO120" s="3">
        <v>4</v>
      </c>
      <c r="BP120" s="3">
        <v>3</v>
      </c>
      <c r="BQ120" s="129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91"/>
      <c r="CE120" s="3"/>
      <c r="CF120" s="3"/>
      <c r="CG120" s="3"/>
      <c r="CH120" s="3"/>
      <c r="CI120" s="3"/>
      <c r="CJ120" s="3"/>
      <c r="CK120" s="3"/>
      <c r="CL120" s="66"/>
      <c r="CM120" s="66"/>
      <c r="CN120" s="66"/>
      <c r="CO120" s="3"/>
      <c r="CP120" s="3"/>
      <c r="CQ120" s="89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89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89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89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89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97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91"/>
      <c r="FR120" s="102"/>
      <c r="GA120" s="34"/>
    </row>
    <row r="121" spans="1:183" x14ac:dyDescent="0.25">
      <c r="A121" s="11" t="s">
        <v>329</v>
      </c>
      <c r="B121" s="26" t="s">
        <v>346</v>
      </c>
      <c r="C121" s="7" t="s">
        <v>332</v>
      </c>
      <c r="D121" s="142">
        <f t="shared" si="27"/>
        <v>29.25</v>
      </c>
      <c r="E121" s="142">
        <v>5</v>
      </c>
      <c r="F121" s="142">
        <v>33</v>
      </c>
      <c r="G121" s="142">
        <v>39</v>
      </c>
      <c r="H121" s="142">
        <v>40</v>
      </c>
      <c r="I121" s="7"/>
      <c r="J121" s="7"/>
      <c r="K121" s="7"/>
      <c r="L121" s="7"/>
      <c r="M121" s="7"/>
      <c r="N121" s="7"/>
      <c r="O121" s="7"/>
      <c r="P121" s="179"/>
      <c r="Q121" s="160">
        <f t="shared" si="21"/>
        <v>24.2</v>
      </c>
      <c r="R121" s="142">
        <v>9</v>
      </c>
      <c r="S121" s="142">
        <v>15</v>
      </c>
      <c r="T121" s="142">
        <v>18</v>
      </c>
      <c r="U121" s="142">
        <v>19</v>
      </c>
      <c r="V121" s="142">
        <v>21</v>
      </c>
      <c r="W121" s="142">
        <v>21</v>
      </c>
      <c r="X121" s="142">
        <v>22</v>
      </c>
      <c r="Y121" s="142">
        <v>25</v>
      </c>
      <c r="Z121" s="142">
        <v>31</v>
      </c>
      <c r="AA121" s="142">
        <v>29</v>
      </c>
      <c r="AB121" s="142">
        <v>18</v>
      </c>
      <c r="AC121" s="155">
        <v>14</v>
      </c>
      <c r="AD121" s="160">
        <v>27.1</v>
      </c>
      <c r="AE121" s="142">
        <v>10</v>
      </c>
      <c r="AF121" s="142">
        <v>18</v>
      </c>
      <c r="AG121" s="142">
        <v>22</v>
      </c>
      <c r="AH121" s="142">
        <v>25</v>
      </c>
      <c r="AI121" s="142">
        <v>20</v>
      </c>
      <c r="AJ121" s="142">
        <v>33</v>
      </c>
      <c r="AK121" s="142">
        <v>30</v>
      </c>
      <c r="AL121" s="142">
        <v>31</v>
      </c>
      <c r="AM121" s="142">
        <v>30</v>
      </c>
      <c r="AN121" s="142">
        <v>26</v>
      </c>
      <c r="AO121" s="142">
        <v>15</v>
      </c>
      <c r="AP121" s="155">
        <v>11</v>
      </c>
      <c r="AQ121" s="10">
        <f t="shared" si="22"/>
        <v>26.4</v>
      </c>
      <c r="AR121" s="15">
        <v>17</v>
      </c>
      <c r="AS121" s="15">
        <v>20</v>
      </c>
      <c r="AT121" s="15">
        <v>22</v>
      </c>
      <c r="AU121" s="15">
        <v>25</v>
      </c>
      <c r="AV121" s="15">
        <v>31</v>
      </c>
      <c r="AW121" s="15">
        <v>29</v>
      </c>
      <c r="AX121" s="15">
        <v>30</v>
      </c>
      <c r="AY121" s="15">
        <v>27</v>
      </c>
      <c r="AZ121" s="15">
        <v>26</v>
      </c>
      <c r="BA121" s="15">
        <v>21</v>
      </c>
      <c r="BB121" s="15">
        <v>10</v>
      </c>
      <c r="BC121" s="15">
        <v>6</v>
      </c>
      <c r="BD121" s="118">
        <v>24.1</v>
      </c>
      <c r="BE121" s="15">
        <v>17</v>
      </c>
      <c r="BF121" s="15">
        <v>22</v>
      </c>
      <c r="BG121" s="15">
        <v>19</v>
      </c>
      <c r="BH121" s="15">
        <v>21</v>
      </c>
      <c r="BI121" s="15">
        <v>21</v>
      </c>
      <c r="BJ121" s="15">
        <v>23</v>
      </c>
      <c r="BK121" s="15">
        <v>22</v>
      </c>
      <c r="BL121" s="15">
        <v>22</v>
      </c>
      <c r="BM121" s="15">
        <v>24</v>
      </c>
      <c r="BN121" s="15">
        <v>26</v>
      </c>
      <c r="BO121" s="15">
        <v>15</v>
      </c>
      <c r="BP121" s="15">
        <v>9</v>
      </c>
      <c r="BQ121" s="118">
        <v>14.5</v>
      </c>
      <c r="BR121" s="15">
        <v>8</v>
      </c>
      <c r="BS121" s="15">
        <v>9</v>
      </c>
      <c r="BT121" s="15">
        <v>11</v>
      </c>
      <c r="BU121" s="15">
        <v>12</v>
      </c>
      <c r="BV121" s="15">
        <v>12</v>
      </c>
      <c r="BW121" s="15">
        <v>15</v>
      </c>
      <c r="BX121" s="15">
        <v>18</v>
      </c>
      <c r="BY121" s="15">
        <v>20</v>
      </c>
      <c r="BZ121" s="15">
        <v>21</v>
      </c>
      <c r="CA121" s="15">
        <v>19</v>
      </c>
      <c r="CB121" s="15">
        <v>0</v>
      </c>
      <c r="CC121" s="15">
        <v>0</v>
      </c>
      <c r="CD121" s="18">
        <v>12.927000000000001</v>
      </c>
      <c r="CE121" s="15">
        <v>8</v>
      </c>
      <c r="CF121" s="15">
        <v>8</v>
      </c>
      <c r="CG121" s="15">
        <v>11</v>
      </c>
      <c r="CH121" s="15">
        <v>11</v>
      </c>
      <c r="CI121" s="15">
        <v>13</v>
      </c>
      <c r="CJ121" s="15">
        <v>15</v>
      </c>
      <c r="CK121" s="15">
        <v>15</v>
      </c>
      <c r="CL121" s="74">
        <v>16.13</v>
      </c>
      <c r="CM121" s="74">
        <v>16.43</v>
      </c>
      <c r="CN121" s="74">
        <v>15.71</v>
      </c>
      <c r="CO121" s="15">
        <v>0</v>
      </c>
      <c r="CP121" s="15">
        <v>0</v>
      </c>
      <c r="CQ121" s="104"/>
      <c r="CR121" s="15"/>
      <c r="CS121" s="15"/>
      <c r="CT121" s="15"/>
      <c r="CU121" s="15"/>
      <c r="CV121" s="15"/>
      <c r="CW121" s="15"/>
      <c r="CX121" s="15"/>
      <c r="CY121" s="15"/>
      <c r="CZ121" s="15"/>
      <c r="DA121" s="7"/>
      <c r="DB121" s="7"/>
      <c r="DC121" s="7"/>
      <c r="DD121" s="104"/>
      <c r="DE121" s="15"/>
      <c r="DF121" s="15"/>
      <c r="DG121" s="15"/>
      <c r="DH121" s="15"/>
      <c r="DI121" s="15"/>
      <c r="DJ121" s="15"/>
      <c r="DK121" s="15"/>
      <c r="DL121" s="15"/>
      <c r="DM121" s="15"/>
      <c r="DN121" s="7"/>
      <c r="DO121" s="7"/>
      <c r="DP121" s="7"/>
      <c r="DQ121" s="104"/>
      <c r="DR121" s="15"/>
      <c r="DS121" s="15"/>
      <c r="DT121" s="15"/>
      <c r="DU121" s="15"/>
      <c r="DV121" s="15"/>
      <c r="DW121" s="15"/>
      <c r="DX121" s="15"/>
      <c r="DY121" s="15"/>
      <c r="DZ121" s="15"/>
      <c r="EA121" s="7"/>
      <c r="EB121" s="7"/>
      <c r="EC121" s="7"/>
      <c r="ED121" s="104"/>
      <c r="EE121" s="15"/>
      <c r="EF121" s="15"/>
      <c r="EG121" s="15"/>
      <c r="EH121" s="15"/>
      <c r="EI121" s="15"/>
      <c r="EJ121" s="15"/>
      <c r="EK121" s="15"/>
      <c r="EL121" s="15"/>
      <c r="EM121" s="15"/>
      <c r="EN121" s="7"/>
      <c r="EO121" s="7"/>
      <c r="EP121" s="7"/>
      <c r="EQ121" s="104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06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03"/>
      <c r="FR121" s="103"/>
      <c r="GA121" s="34"/>
    </row>
    <row r="122" spans="1:183" x14ac:dyDescent="0.25">
      <c r="A122" s="6" t="s">
        <v>228</v>
      </c>
      <c r="B122" s="25" t="s">
        <v>244</v>
      </c>
      <c r="C122" s="1" t="s">
        <v>243</v>
      </c>
      <c r="D122" s="141">
        <f t="shared" si="27"/>
        <v>48.777500000000003</v>
      </c>
      <c r="E122" s="141">
        <v>34.49</v>
      </c>
      <c r="F122" s="141">
        <v>46.49</v>
      </c>
      <c r="G122" s="141">
        <v>63.81</v>
      </c>
      <c r="H122" s="141">
        <v>50.32</v>
      </c>
      <c r="P122" s="77"/>
      <c r="Q122" s="159">
        <f t="shared" si="21"/>
        <v>66.097000000000008</v>
      </c>
      <c r="R122" s="141">
        <v>36.659999999999997</v>
      </c>
      <c r="S122" s="141">
        <v>51.66</v>
      </c>
      <c r="T122" s="141">
        <v>60.66</v>
      </c>
      <c r="U122" s="141">
        <v>53.49</v>
      </c>
      <c r="V122" s="141">
        <v>58.32</v>
      </c>
      <c r="W122" s="141">
        <v>59.49</v>
      </c>
      <c r="X122" s="141">
        <v>60.15</v>
      </c>
      <c r="Y122" s="141">
        <v>66.64</v>
      </c>
      <c r="Z122" s="141">
        <v>75.47</v>
      </c>
      <c r="AA122" s="141">
        <v>54.64</v>
      </c>
      <c r="AB122" s="141">
        <v>45.98</v>
      </c>
      <c r="AC122" s="154">
        <v>37.81</v>
      </c>
      <c r="AD122" s="159">
        <v>50.832000000000001</v>
      </c>
      <c r="AE122" s="141">
        <v>32.32</v>
      </c>
      <c r="AF122" s="141">
        <v>42.32</v>
      </c>
      <c r="AG122" s="141">
        <v>43.98</v>
      </c>
      <c r="AH122" s="141">
        <v>45.15</v>
      </c>
      <c r="AI122" s="141">
        <v>42.66</v>
      </c>
      <c r="AJ122" s="141">
        <v>44.98</v>
      </c>
      <c r="AK122" s="141">
        <v>47.3</v>
      </c>
      <c r="AL122" s="141">
        <v>56.98</v>
      </c>
      <c r="AM122" s="141">
        <v>50.67</v>
      </c>
      <c r="AN122" s="141">
        <v>47.15</v>
      </c>
      <c r="AO122" s="141">
        <v>35.32</v>
      </c>
      <c r="AP122" s="141">
        <v>19.489999999999998</v>
      </c>
      <c r="AQ122" s="9">
        <f t="shared" si="22"/>
        <v>48.724000000000004</v>
      </c>
      <c r="AR122" s="3">
        <v>26.81</v>
      </c>
      <c r="AS122" s="3">
        <v>35</v>
      </c>
      <c r="AT122" s="3">
        <v>37.659999999999997</v>
      </c>
      <c r="AU122" s="3">
        <v>49.66</v>
      </c>
      <c r="AV122" s="3">
        <v>45.83</v>
      </c>
      <c r="AW122" s="3">
        <v>50.49</v>
      </c>
      <c r="AX122" s="3">
        <v>46.49</v>
      </c>
      <c r="AY122" s="3">
        <v>63.49</v>
      </c>
      <c r="AZ122" s="3">
        <v>57.49</v>
      </c>
      <c r="BA122" s="3">
        <v>74.319999999999993</v>
      </c>
      <c r="BB122" s="3">
        <v>0</v>
      </c>
      <c r="BC122" s="3">
        <v>0</v>
      </c>
      <c r="BD122" s="117">
        <v>36.795000000000002</v>
      </c>
      <c r="BE122" s="3">
        <v>21.32</v>
      </c>
      <c r="BF122" s="3">
        <v>13.83</v>
      </c>
      <c r="BG122" s="3">
        <v>24.64</v>
      </c>
      <c r="BH122" s="3">
        <v>21.98</v>
      </c>
      <c r="BI122" s="3">
        <v>24.66</v>
      </c>
      <c r="BJ122" s="3">
        <v>35.81</v>
      </c>
      <c r="BK122" s="3">
        <v>38.81</v>
      </c>
      <c r="BL122" s="3">
        <v>40.64</v>
      </c>
      <c r="BM122" s="3">
        <v>43.81</v>
      </c>
      <c r="BN122" s="3">
        <v>52.3</v>
      </c>
      <c r="BO122" s="3">
        <v>32.659999999999997</v>
      </c>
      <c r="BP122" s="20">
        <v>17.489999999999998</v>
      </c>
      <c r="BQ122" s="65">
        <v>29.606999999999999</v>
      </c>
      <c r="BR122" s="3">
        <v>22</v>
      </c>
      <c r="BS122" s="3">
        <v>21.49</v>
      </c>
      <c r="BT122" s="3">
        <v>22.49</v>
      </c>
      <c r="BU122" s="3">
        <v>25.49</v>
      </c>
      <c r="BV122" s="3">
        <v>23.66</v>
      </c>
      <c r="BW122" s="3">
        <v>24.66</v>
      </c>
      <c r="BX122" s="3">
        <v>28.66</v>
      </c>
      <c r="BY122" s="3">
        <v>29.32</v>
      </c>
      <c r="BZ122" s="3">
        <v>32.32</v>
      </c>
      <c r="CA122" s="3">
        <v>29.66</v>
      </c>
      <c r="CB122" s="3">
        <v>24.49</v>
      </c>
      <c r="CC122" s="3">
        <v>11.83</v>
      </c>
      <c r="CD122" s="16">
        <v>21.661999999999999</v>
      </c>
      <c r="CE122" s="3">
        <v>8</v>
      </c>
      <c r="CF122" s="3">
        <v>12</v>
      </c>
      <c r="CG122" s="3">
        <v>13</v>
      </c>
      <c r="CH122" s="3">
        <v>11.66</v>
      </c>
      <c r="CI122" s="3">
        <v>20.66</v>
      </c>
      <c r="CJ122" s="3">
        <v>29</v>
      </c>
      <c r="CK122" s="3">
        <v>29</v>
      </c>
      <c r="CL122" s="66">
        <v>31.18</v>
      </c>
      <c r="CM122" s="66">
        <v>31.76</v>
      </c>
      <c r="CN122" s="66">
        <v>30.36</v>
      </c>
      <c r="CO122" s="3">
        <v>0</v>
      </c>
      <c r="CP122" s="20">
        <v>0</v>
      </c>
      <c r="CQ122" s="9">
        <v>5</v>
      </c>
      <c r="CR122" s="3">
        <v>0</v>
      </c>
      <c r="CS122" s="3">
        <v>0</v>
      </c>
      <c r="CT122" s="3">
        <v>2</v>
      </c>
      <c r="CU122" s="3">
        <v>2</v>
      </c>
      <c r="CV122" s="3">
        <v>3</v>
      </c>
      <c r="CW122" s="3">
        <v>4</v>
      </c>
      <c r="CX122" s="3">
        <v>4</v>
      </c>
      <c r="CY122" s="3">
        <v>5</v>
      </c>
      <c r="CZ122" s="3">
        <v>10</v>
      </c>
      <c r="DA122" s="3">
        <v>12</v>
      </c>
      <c r="DB122" s="3">
        <v>5</v>
      </c>
      <c r="DC122" s="3">
        <v>3</v>
      </c>
      <c r="DD122" s="9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20">
        <v>0</v>
      </c>
      <c r="DQ122" s="9">
        <v>2.2999999999999998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14</v>
      </c>
      <c r="DZ122" s="3">
        <v>2</v>
      </c>
      <c r="EA122" s="3">
        <v>7</v>
      </c>
      <c r="EB122" s="3">
        <v>0</v>
      </c>
      <c r="EC122" s="3">
        <v>0</v>
      </c>
      <c r="ED122" s="89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89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97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91"/>
      <c r="FR122" s="102"/>
      <c r="GA122" s="34"/>
    </row>
    <row r="123" spans="1:183" x14ac:dyDescent="0.25">
      <c r="A123" s="6" t="s">
        <v>125</v>
      </c>
      <c r="B123" s="25" t="s">
        <v>121</v>
      </c>
      <c r="C123" s="1" t="s">
        <v>119</v>
      </c>
      <c r="D123" s="141">
        <f t="shared" si="27"/>
        <v>0</v>
      </c>
      <c r="E123" s="141">
        <v>0</v>
      </c>
      <c r="F123" s="141">
        <v>0</v>
      </c>
      <c r="G123" s="141">
        <v>0</v>
      </c>
      <c r="H123" s="141">
        <v>0</v>
      </c>
      <c r="P123" s="77"/>
      <c r="Q123" s="159">
        <f t="shared" si="21"/>
        <v>0</v>
      </c>
      <c r="R123" s="141">
        <v>0</v>
      </c>
      <c r="S123" s="141">
        <v>0</v>
      </c>
      <c r="T123" s="141">
        <v>0</v>
      </c>
      <c r="U123" s="141">
        <v>0</v>
      </c>
      <c r="V123" s="141">
        <v>0</v>
      </c>
      <c r="W123" s="141">
        <v>0</v>
      </c>
      <c r="X123" s="141">
        <v>0</v>
      </c>
      <c r="Y123" s="141">
        <v>0</v>
      </c>
      <c r="Z123" s="141">
        <v>0</v>
      </c>
      <c r="AA123" s="141">
        <v>0</v>
      </c>
      <c r="AB123" s="141">
        <v>0</v>
      </c>
      <c r="AC123" s="154">
        <v>0</v>
      </c>
      <c r="AD123" s="159">
        <v>0.93999999999999984</v>
      </c>
      <c r="AE123" s="141">
        <v>2</v>
      </c>
      <c r="AF123" s="141">
        <v>2</v>
      </c>
      <c r="AG123" s="141">
        <v>1</v>
      </c>
      <c r="AH123" s="141">
        <v>2</v>
      </c>
      <c r="AI123" s="141">
        <v>0</v>
      </c>
      <c r="AJ123" s="141">
        <v>0.6</v>
      </c>
      <c r="AK123" s="141">
        <v>0.6</v>
      </c>
      <c r="AL123" s="141">
        <v>0.6</v>
      </c>
      <c r="AM123" s="141">
        <v>0.6</v>
      </c>
      <c r="AN123" s="141">
        <v>0</v>
      </c>
      <c r="AO123" s="141">
        <v>0</v>
      </c>
      <c r="AP123" s="141">
        <v>0</v>
      </c>
      <c r="AQ123" s="9">
        <f t="shared" si="22"/>
        <v>0.7</v>
      </c>
      <c r="AR123" s="3">
        <v>2</v>
      </c>
      <c r="AS123" s="3">
        <v>0</v>
      </c>
      <c r="AT123" s="3">
        <v>0</v>
      </c>
      <c r="AU123" s="3">
        <v>0</v>
      </c>
      <c r="AV123" s="3">
        <v>0</v>
      </c>
      <c r="AW123" s="3">
        <v>1</v>
      </c>
      <c r="AX123" s="3">
        <v>1</v>
      </c>
      <c r="AY123" s="3">
        <v>1</v>
      </c>
      <c r="AZ123" s="3">
        <v>1</v>
      </c>
      <c r="BA123" s="3">
        <v>1</v>
      </c>
      <c r="BB123" s="3">
        <v>0</v>
      </c>
      <c r="BC123" s="3">
        <v>0</v>
      </c>
      <c r="BD123" s="117">
        <v>1.1000000000000001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1</v>
      </c>
      <c r="BL123" s="3">
        <v>2</v>
      </c>
      <c r="BM123" s="3">
        <v>2</v>
      </c>
      <c r="BN123" s="3">
        <v>2</v>
      </c>
      <c r="BO123" s="3">
        <v>2</v>
      </c>
      <c r="BP123" s="20">
        <v>2</v>
      </c>
      <c r="BQ123" s="65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16">
        <v>1.35</v>
      </c>
      <c r="CE123" s="3">
        <v>2</v>
      </c>
      <c r="CF123" s="3">
        <v>1</v>
      </c>
      <c r="CG123" s="3">
        <v>1</v>
      </c>
      <c r="CH123" s="3">
        <v>1</v>
      </c>
      <c r="CI123" s="3">
        <v>1</v>
      </c>
      <c r="CJ123" s="3">
        <v>1</v>
      </c>
      <c r="CK123" s="3">
        <v>2</v>
      </c>
      <c r="CL123" s="66">
        <v>1</v>
      </c>
      <c r="CM123" s="66">
        <v>1</v>
      </c>
      <c r="CN123" s="66">
        <v>0.5</v>
      </c>
      <c r="CO123" s="3">
        <v>2</v>
      </c>
      <c r="CP123" s="20">
        <v>0</v>
      </c>
      <c r="CQ123" s="9">
        <v>1.3</v>
      </c>
      <c r="CR123" s="3">
        <v>0</v>
      </c>
      <c r="CS123" s="3">
        <v>1</v>
      </c>
      <c r="CT123" s="3">
        <v>0</v>
      </c>
      <c r="CU123" s="3">
        <v>0</v>
      </c>
      <c r="CV123" s="3">
        <v>0</v>
      </c>
      <c r="CW123" s="3">
        <v>1</v>
      </c>
      <c r="CX123" s="3">
        <v>2</v>
      </c>
      <c r="CY123" s="3">
        <v>2</v>
      </c>
      <c r="CZ123" s="3">
        <v>2</v>
      </c>
      <c r="DA123" s="3">
        <v>1</v>
      </c>
      <c r="DB123" s="3">
        <v>3</v>
      </c>
      <c r="DC123" s="3">
        <v>1</v>
      </c>
      <c r="DD123" s="9">
        <v>0.6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1</v>
      </c>
      <c r="DM123" s="3">
        <v>1</v>
      </c>
      <c r="DN123" s="3">
        <v>2</v>
      </c>
      <c r="DO123" s="3">
        <v>1</v>
      </c>
      <c r="DP123" s="20">
        <v>1</v>
      </c>
      <c r="DQ123" s="9">
        <v>0.9</v>
      </c>
      <c r="DR123" s="3">
        <v>0</v>
      </c>
      <c r="DS123" s="3">
        <v>0</v>
      </c>
      <c r="DT123" s="3">
        <v>1</v>
      </c>
      <c r="DU123" s="3">
        <v>1</v>
      </c>
      <c r="DV123" s="3">
        <v>1</v>
      </c>
      <c r="DW123" s="3">
        <v>1</v>
      </c>
      <c r="DX123" s="3">
        <v>1</v>
      </c>
      <c r="DY123" s="3">
        <v>2</v>
      </c>
      <c r="DZ123" s="3">
        <v>1</v>
      </c>
      <c r="EA123" s="3">
        <v>1</v>
      </c>
      <c r="EB123" s="3">
        <v>0</v>
      </c>
      <c r="EC123" s="3">
        <v>0</v>
      </c>
      <c r="ED123" s="9">
        <f t="shared" ref="ED123:ED138" si="30">+IFERROR((SUM(EE123:EP123)/10),0)</f>
        <v>0.1</v>
      </c>
      <c r="EE123" s="3">
        <v>0</v>
      </c>
      <c r="EF123" s="3">
        <v>1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9">
        <f t="shared" si="26"/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69">
        <f t="shared" si="29"/>
        <v>0.4</v>
      </c>
      <c r="FE123" s="3"/>
      <c r="FF123" s="3"/>
      <c r="FG123" s="3"/>
      <c r="FH123" s="3"/>
      <c r="FI123" s="3"/>
      <c r="FJ123" s="3"/>
      <c r="FK123" s="3">
        <v>1</v>
      </c>
      <c r="FL123" s="3">
        <v>1</v>
      </c>
      <c r="FM123" s="3">
        <v>1</v>
      </c>
      <c r="FN123" s="3">
        <v>1</v>
      </c>
      <c r="FO123" s="3">
        <v>0</v>
      </c>
      <c r="FP123" s="3">
        <v>0</v>
      </c>
      <c r="FQ123" s="102"/>
      <c r="FR123" s="102"/>
      <c r="GA123" s="34"/>
    </row>
    <row r="124" spans="1:183" x14ac:dyDescent="0.25">
      <c r="A124" s="6"/>
      <c r="B124" s="25" t="s">
        <v>362</v>
      </c>
      <c r="C124" s="1" t="s">
        <v>363</v>
      </c>
      <c r="D124" s="141">
        <f t="shared" ref="D124:D155" si="31">SUM(E124:P124)/$E$2</f>
        <v>32.7575</v>
      </c>
      <c r="E124" s="141">
        <v>32.869999999999997</v>
      </c>
      <c r="F124" s="141">
        <v>32.54</v>
      </c>
      <c r="G124" s="141">
        <v>32.809999999999995</v>
      </c>
      <c r="H124" s="141">
        <v>32.809999999999995</v>
      </c>
      <c r="P124" s="77"/>
      <c r="Q124" s="159">
        <f t="shared" ref="Q124:Q151" si="32">SUM(R124:AC124)/10</f>
        <v>12.501000000000001</v>
      </c>
      <c r="R124" s="141">
        <v>0</v>
      </c>
      <c r="S124" s="141">
        <v>0</v>
      </c>
      <c r="T124" s="141">
        <v>0</v>
      </c>
      <c r="U124" s="141">
        <v>0</v>
      </c>
      <c r="V124" s="141">
        <v>0</v>
      </c>
      <c r="W124" s="141">
        <v>0</v>
      </c>
      <c r="X124" s="141">
        <v>32.659999999999997</v>
      </c>
      <c r="Y124" s="141">
        <v>34.67</v>
      </c>
      <c r="Z124" s="141">
        <v>31.67</v>
      </c>
      <c r="AA124" s="141">
        <v>26.01</v>
      </c>
      <c r="AB124" s="141">
        <v>0</v>
      </c>
      <c r="AC124" s="154">
        <v>0</v>
      </c>
      <c r="AD124" s="159">
        <v>28.302</v>
      </c>
      <c r="AE124" s="141">
        <v>28.189999999999998</v>
      </c>
      <c r="AF124" s="141">
        <v>28.189999999999998</v>
      </c>
      <c r="AG124" s="141">
        <v>26.52</v>
      </c>
      <c r="AH124" s="141">
        <v>25.52</v>
      </c>
      <c r="AI124" s="141">
        <v>25.52</v>
      </c>
      <c r="AJ124" s="141">
        <v>32.81</v>
      </c>
      <c r="AK124" s="141">
        <v>32.28</v>
      </c>
      <c r="AL124" s="141">
        <v>28.669999999999998</v>
      </c>
      <c r="AM124" s="141">
        <v>27.66</v>
      </c>
      <c r="AN124" s="141">
        <v>27.66</v>
      </c>
      <c r="AO124" s="141">
        <v>0</v>
      </c>
      <c r="AP124" s="141">
        <v>0</v>
      </c>
      <c r="AQ124" s="9">
        <f t="shared" si="22"/>
        <v>19.693000000000001</v>
      </c>
      <c r="AR124" s="3">
        <v>23.07</v>
      </c>
      <c r="AS124" s="3">
        <v>23.07</v>
      </c>
      <c r="AT124" s="3">
        <v>22.400000000000002</v>
      </c>
      <c r="AU124" s="3">
        <v>17.72</v>
      </c>
      <c r="AV124" s="3">
        <v>16.93</v>
      </c>
      <c r="AW124" s="3">
        <v>16.600000000000001</v>
      </c>
      <c r="AX124" s="3">
        <v>15.93</v>
      </c>
      <c r="AY124" s="3">
        <v>21.47</v>
      </c>
      <c r="AZ124" s="3">
        <v>18.600000000000001</v>
      </c>
      <c r="BA124" s="3">
        <v>17.27</v>
      </c>
      <c r="BB124" s="3">
        <v>2.27</v>
      </c>
      <c r="BC124" s="3">
        <v>1.6</v>
      </c>
      <c r="BD124" s="117">
        <v>14.426000000000002</v>
      </c>
      <c r="BE124" s="3">
        <v>16.670000000000002</v>
      </c>
      <c r="BF124" s="3">
        <v>16.670000000000002</v>
      </c>
      <c r="BG124" s="3">
        <v>12.33</v>
      </c>
      <c r="BH124" s="3">
        <v>12</v>
      </c>
      <c r="BI124" s="3">
        <v>13.13</v>
      </c>
      <c r="BJ124" s="3">
        <v>12.13</v>
      </c>
      <c r="BK124" s="3">
        <v>12.13</v>
      </c>
      <c r="BL124" s="3">
        <v>16.060000000000002</v>
      </c>
      <c r="BM124" s="3">
        <v>16.739999999999998</v>
      </c>
      <c r="BN124" s="3">
        <v>15.74</v>
      </c>
      <c r="BO124" s="3">
        <v>0.33</v>
      </c>
      <c r="BP124" s="20">
        <v>0.33</v>
      </c>
      <c r="BQ124" s="65">
        <v>5.9329999999999998</v>
      </c>
      <c r="BR124" s="3">
        <v>1</v>
      </c>
      <c r="BS124" s="3">
        <v>1</v>
      </c>
      <c r="BT124" s="3">
        <v>1</v>
      </c>
      <c r="BU124" s="3">
        <v>1</v>
      </c>
      <c r="BV124" s="3">
        <v>6.67</v>
      </c>
      <c r="BW124" s="3">
        <v>6.67</v>
      </c>
      <c r="BX124" s="3">
        <v>7.99</v>
      </c>
      <c r="BY124" s="3">
        <v>12.67</v>
      </c>
      <c r="BZ124" s="3">
        <v>11.33</v>
      </c>
      <c r="CA124" s="3">
        <v>7.67</v>
      </c>
      <c r="CB124" s="3">
        <v>1.33</v>
      </c>
      <c r="CC124" s="3">
        <v>1</v>
      </c>
      <c r="CD124" s="91"/>
      <c r="CE124" s="3"/>
      <c r="CF124" s="3"/>
      <c r="CG124" s="3"/>
      <c r="CH124" s="3"/>
      <c r="CI124" s="3"/>
      <c r="CJ124" s="3"/>
      <c r="CK124" s="3"/>
      <c r="CL124" s="66"/>
      <c r="CM124" s="66"/>
      <c r="CN124" s="66"/>
      <c r="CO124" s="3"/>
      <c r="CP124" s="20"/>
      <c r="CQ124" s="89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89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20"/>
      <c r="DQ124" s="89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89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89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97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102"/>
      <c r="FR124" s="102"/>
      <c r="GA124" s="34"/>
    </row>
    <row r="125" spans="1:183" x14ac:dyDescent="0.25">
      <c r="A125" s="6"/>
      <c r="B125" s="25" t="s">
        <v>413</v>
      </c>
      <c r="C125" s="1" t="s">
        <v>412</v>
      </c>
      <c r="D125" s="141">
        <f t="shared" si="31"/>
        <v>7.75</v>
      </c>
      <c r="E125" s="141">
        <v>8</v>
      </c>
      <c r="F125" s="141">
        <v>8</v>
      </c>
      <c r="G125" s="141">
        <v>8</v>
      </c>
      <c r="H125" s="141">
        <v>7</v>
      </c>
      <c r="P125" s="77"/>
      <c r="Q125" s="159">
        <f t="shared" si="32"/>
        <v>8</v>
      </c>
      <c r="R125" s="141">
        <v>5</v>
      </c>
      <c r="S125" s="141">
        <v>8</v>
      </c>
      <c r="T125" s="141">
        <v>8</v>
      </c>
      <c r="U125" s="141">
        <v>10</v>
      </c>
      <c r="V125" s="141">
        <v>8</v>
      </c>
      <c r="W125" s="141">
        <v>9</v>
      </c>
      <c r="X125" s="141">
        <v>5</v>
      </c>
      <c r="Y125" s="141">
        <v>6</v>
      </c>
      <c r="Z125" s="141">
        <v>11</v>
      </c>
      <c r="AA125" s="141">
        <v>10</v>
      </c>
      <c r="AB125" s="141">
        <v>0</v>
      </c>
      <c r="AC125" s="154">
        <v>0</v>
      </c>
      <c r="AD125" s="159">
        <v>0</v>
      </c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141">
        <v>0</v>
      </c>
      <c r="AP125" s="141">
        <v>0</v>
      </c>
      <c r="AQ125" s="9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117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20"/>
      <c r="BQ125" s="65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91"/>
      <c r="CE125" s="3"/>
      <c r="CF125" s="3"/>
      <c r="CG125" s="3"/>
      <c r="CH125" s="3"/>
      <c r="CI125" s="3"/>
      <c r="CJ125" s="3"/>
      <c r="CK125" s="3"/>
      <c r="CL125" s="66"/>
      <c r="CM125" s="66"/>
      <c r="CN125" s="66"/>
      <c r="CO125" s="3"/>
      <c r="CP125" s="20"/>
      <c r="CQ125" s="89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89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20"/>
      <c r="DQ125" s="89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89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89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97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102"/>
      <c r="FR125" s="102"/>
      <c r="GA125" s="34"/>
    </row>
    <row r="126" spans="1:183" x14ac:dyDescent="0.25">
      <c r="A126" s="6" t="s">
        <v>176</v>
      </c>
      <c r="B126" s="25" t="s">
        <v>193</v>
      </c>
      <c r="C126" s="1" t="s">
        <v>192</v>
      </c>
      <c r="D126" s="141">
        <f t="shared" si="31"/>
        <v>0.25</v>
      </c>
      <c r="E126" s="141">
        <v>0</v>
      </c>
      <c r="F126" s="141">
        <v>0</v>
      </c>
      <c r="G126" s="141">
        <v>0</v>
      </c>
      <c r="H126" s="141">
        <v>1</v>
      </c>
      <c r="P126" s="77"/>
      <c r="Q126" s="159">
        <f t="shared" si="32"/>
        <v>0</v>
      </c>
      <c r="R126" s="141">
        <v>0</v>
      </c>
      <c r="S126" s="141">
        <v>0</v>
      </c>
      <c r="T126" s="141">
        <v>0</v>
      </c>
      <c r="U126" s="141">
        <v>0</v>
      </c>
      <c r="V126" s="141">
        <v>0</v>
      </c>
      <c r="W126" s="141">
        <v>0</v>
      </c>
      <c r="X126" s="141">
        <v>0</v>
      </c>
      <c r="Y126" s="141">
        <v>0</v>
      </c>
      <c r="Z126" s="141">
        <v>0</v>
      </c>
      <c r="AA126" s="141">
        <v>0</v>
      </c>
      <c r="AB126" s="141">
        <v>0</v>
      </c>
      <c r="AC126" s="154">
        <v>0</v>
      </c>
      <c r="AD126" s="159">
        <v>0</v>
      </c>
      <c r="AE126" s="141">
        <v>0</v>
      </c>
      <c r="AF126" s="141">
        <v>0</v>
      </c>
      <c r="AG126" s="141">
        <v>0</v>
      </c>
      <c r="AH126" s="141">
        <v>0</v>
      </c>
      <c r="AI126" s="141">
        <v>0</v>
      </c>
      <c r="AJ126" s="141">
        <v>0</v>
      </c>
      <c r="AK126" s="141">
        <v>0</v>
      </c>
      <c r="AL126" s="141">
        <v>0</v>
      </c>
      <c r="AM126" s="141">
        <v>0</v>
      </c>
      <c r="AN126" s="141">
        <v>0</v>
      </c>
      <c r="AO126" s="141">
        <v>0</v>
      </c>
      <c r="AP126" s="141">
        <v>0</v>
      </c>
      <c r="AQ126" s="9">
        <f t="shared" si="22"/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117">
        <v>0.7</v>
      </c>
      <c r="BE126" s="3">
        <v>0</v>
      </c>
      <c r="BF126" s="3">
        <v>1</v>
      </c>
      <c r="BG126" s="3">
        <v>1</v>
      </c>
      <c r="BH126" s="3">
        <v>1</v>
      </c>
      <c r="BI126" s="3">
        <v>2</v>
      </c>
      <c r="BJ126" s="3">
        <v>1</v>
      </c>
      <c r="BK126" s="3">
        <v>1</v>
      </c>
      <c r="BL126" s="3">
        <v>0</v>
      </c>
      <c r="BM126" s="3">
        <v>0</v>
      </c>
      <c r="BN126" s="3">
        <v>0</v>
      </c>
      <c r="BO126" s="3">
        <v>0</v>
      </c>
      <c r="BP126" s="20">
        <v>0</v>
      </c>
      <c r="BQ126" s="65">
        <v>0.6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1</v>
      </c>
      <c r="BY126" s="3">
        <v>3</v>
      </c>
      <c r="BZ126" s="3">
        <v>1</v>
      </c>
      <c r="CA126" s="3">
        <v>1</v>
      </c>
      <c r="CB126" s="3">
        <v>0</v>
      </c>
      <c r="CC126" s="3">
        <v>0</v>
      </c>
      <c r="CD126" s="16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66">
        <v>0</v>
      </c>
      <c r="CM126" s="66">
        <v>0</v>
      </c>
      <c r="CN126" s="66">
        <v>0</v>
      </c>
      <c r="CO126" s="3">
        <v>0</v>
      </c>
      <c r="CP126" s="20">
        <v>0</v>
      </c>
      <c r="CQ126" s="9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9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20">
        <v>0</v>
      </c>
      <c r="DQ126" s="9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9">
        <f t="shared" si="30"/>
        <v>11.1</v>
      </c>
      <c r="EE126" s="3">
        <v>9</v>
      </c>
      <c r="EF126" s="3">
        <v>14</v>
      </c>
      <c r="EG126" s="3">
        <v>12</v>
      </c>
      <c r="EH126" s="3">
        <v>15</v>
      </c>
      <c r="EI126" s="3">
        <v>11</v>
      </c>
      <c r="EJ126" s="3">
        <v>9</v>
      </c>
      <c r="EK126" s="3">
        <v>8</v>
      </c>
      <c r="EL126" s="3">
        <v>9</v>
      </c>
      <c r="EM126" s="3">
        <v>6</v>
      </c>
      <c r="EN126" s="3">
        <v>6</v>
      </c>
      <c r="EO126" s="3">
        <v>6</v>
      </c>
      <c r="EP126" s="3">
        <v>6</v>
      </c>
      <c r="EQ126" s="89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97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91"/>
      <c r="FR126" s="91"/>
      <c r="GA126" s="34"/>
    </row>
    <row r="127" spans="1:183" x14ac:dyDescent="0.25">
      <c r="A127" s="6" t="s">
        <v>303</v>
      </c>
      <c r="B127" s="25" t="s">
        <v>305</v>
      </c>
      <c r="C127" s="1" t="s">
        <v>304</v>
      </c>
      <c r="D127" s="141">
        <f t="shared" si="31"/>
        <v>54</v>
      </c>
      <c r="E127" s="141">
        <v>37</v>
      </c>
      <c r="F127" s="141">
        <v>59</v>
      </c>
      <c r="G127" s="141">
        <v>61</v>
      </c>
      <c r="H127" s="141">
        <v>59</v>
      </c>
      <c r="P127" s="77"/>
      <c r="Q127" s="159">
        <f t="shared" si="32"/>
        <v>60</v>
      </c>
      <c r="R127" s="141">
        <v>37</v>
      </c>
      <c r="S127" s="141">
        <v>50</v>
      </c>
      <c r="T127" s="141">
        <v>53</v>
      </c>
      <c r="U127" s="141">
        <v>62</v>
      </c>
      <c r="V127" s="141">
        <v>66</v>
      </c>
      <c r="W127" s="141">
        <v>63</v>
      </c>
      <c r="X127" s="141">
        <v>68</v>
      </c>
      <c r="Y127" s="141">
        <v>58</v>
      </c>
      <c r="Z127" s="141">
        <v>56</v>
      </c>
      <c r="AA127" s="141">
        <v>44</v>
      </c>
      <c r="AB127" s="141">
        <v>22</v>
      </c>
      <c r="AC127" s="154">
        <v>21</v>
      </c>
      <c r="AD127" s="159">
        <v>45.3</v>
      </c>
      <c r="AE127" s="141">
        <v>26</v>
      </c>
      <c r="AF127" s="141">
        <v>27</v>
      </c>
      <c r="AG127" s="141">
        <v>36</v>
      </c>
      <c r="AH127" s="141">
        <v>41</v>
      </c>
      <c r="AI127" s="141">
        <v>40</v>
      </c>
      <c r="AJ127" s="141">
        <v>45</v>
      </c>
      <c r="AK127" s="141">
        <v>48</v>
      </c>
      <c r="AL127" s="141">
        <v>49</v>
      </c>
      <c r="AM127" s="141">
        <v>47</v>
      </c>
      <c r="AN127" s="141">
        <v>41</v>
      </c>
      <c r="AO127" s="141">
        <v>30</v>
      </c>
      <c r="AP127" s="141">
        <v>23</v>
      </c>
      <c r="AQ127" s="9">
        <f t="shared" si="22"/>
        <v>23.457999999999998</v>
      </c>
      <c r="AR127" s="3">
        <v>14</v>
      </c>
      <c r="AS127" s="3">
        <v>18</v>
      </c>
      <c r="AT127" s="3">
        <v>19.579999999999998</v>
      </c>
      <c r="AU127" s="3">
        <v>22</v>
      </c>
      <c r="AV127" s="3">
        <v>20</v>
      </c>
      <c r="AW127" s="3">
        <v>21</v>
      </c>
      <c r="AX127" s="3">
        <v>22</v>
      </c>
      <c r="AY127" s="3">
        <v>19</v>
      </c>
      <c r="AZ127" s="3">
        <v>22</v>
      </c>
      <c r="BA127" s="3">
        <v>23</v>
      </c>
      <c r="BB127" s="3">
        <v>20</v>
      </c>
      <c r="BC127" s="3">
        <v>14</v>
      </c>
      <c r="BD127" s="117">
        <v>15.5</v>
      </c>
      <c r="BE127" s="3">
        <v>9</v>
      </c>
      <c r="BF127" s="3">
        <v>13</v>
      </c>
      <c r="BG127" s="3">
        <v>15</v>
      </c>
      <c r="BH127" s="3">
        <v>15</v>
      </c>
      <c r="BI127" s="3">
        <v>11</v>
      </c>
      <c r="BJ127" s="3">
        <v>12</v>
      </c>
      <c r="BK127" s="3">
        <v>12</v>
      </c>
      <c r="BL127" s="3">
        <v>14</v>
      </c>
      <c r="BM127" s="3">
        <v>13</v>
      </c>
      <c r="BN127" s="3">
        <v>17</v>
      </c>
      <c r="BO127" s="3">
        <v>14</v>
      </c>
      <c r="BP127" s="20">
        <v>10</v>
      </c>
      <c r="BQ127" s="65">
        <v>17.100000000000001</v>
      </c>
      <c r="BR127" s="3">
        <v>14</v>
      </c>
      <c r="BS127" s="3">
        <v>11</v>
      </c>
      <c r="BT127" s="3">
        <v>14</v>
      </c>
      <c r="BU127" s="3">
        <v>15</v>
      </c>
      <c r="BV127" s="3">
        <v>14</v>
      </c>
      <c r="BW127" s="3">
        <v>19</v>
      </c>
      <c r="BX127" s="3">
        <v>20</v>
      </c>
      <c r="BY127" s="3">
        <v>19</v>
      </c>
      <c r="BZ127" s="3">
        <v>18</v>
      </c>
      <c r="CA127" s="3">
        <v>18</v>
      </c>
      <c r="CB127" s="3">
        <v>8</v>
      </c>
      <c r="CC127" s="3">
        <v>1</v>
      </c>
      <c r="CD127" s="16">
        <v>9.44</v>
      </c>
      <c r="CE127" s="3">
        <v>2</v>
      </c>
      <c r="CF127" s="3">
        <v>4</v>
      </c>
      <c r="CG127" s="3">
        <v>6</v>
      </c>
      <c r="CH127" s="3">
        <v>5</v>
      </c>
      <c r="CI127" s="3">
        <v>3</v>
      </c>
      <c r="CJ127" s="3">
        <v>11</v>
      </c>
      <c r="CK127" s="3">
        <v>11</v>
      </c>
      <c r="CL127" s="66">
        <v>11.83</v>
      </c>
      <c r="CM127" s="66">
        <v>12.05</v>
      </c>
      <c r="CN127" s="66">
        <v>11.52</v>
      </c>
      <c r="CO127" s="3">
        <v>9</v>
      </c>
      <c r="CP127" s="20">
        <v>8</v>
      </c>
      <c r="CQ127" s="9">
        <v>2.6</v>
      </c>
      <c r="CR127" s="3">
        <v>0</v>
      </c>
      <c r="CS127" s="3">
        <v>0</v>
      </c>
      <c r="CT127" s="3">
        <v>2</v>
      </c>
      <c r="CU127" s="3">
        <v>2</v>
      </c>
      <c r="CV127" s="3">
        <v>2</v>
      </c>
      <c r="CW127" s="3">
        <v>5</v>
      </c>
      <c r="CX127" s="3">
        <v>2</v>
      </c>
      <c r="CY127" s="3">
        <v>6</v>
      </c>
      <c r="CZ127" s="3">
        <v>2</v>
      </c>
      <c r="DA127" s="3">
        <v>3</v>
      </c>
      <c r="DB127" s="3">
        <v>2</v>
      </c>
      <c r="DC127" s="3">
        <v>0</v>
      </c>
      <c r="DD127" s="9">
        <v>0</v>
      </c>
      <c r="DE127" s="3"/>
      <c r="DF127" s="3"/>
      <c r="DG127" s="3"/>
      <c r="DH127" s="3"/>
      <c r="DI127" s="3"/>
      <c r="DJ127" s="3"/>
      <c r="DK127" s="3"/>
      <c r="DL127" s="3"/>
      <c r="DM127" s="3"/>
      <c r="DN127" s="3">
        <v>0</v>
      </c>
      <c r="DO127" s="3">
        <v>0</v>
      </c>
      <c r="DP127" s="20">
        <v>0</v>
      </c>
      <c r="DQ127" s="89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89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89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97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91"/>
      <c r="FR127" s="91"/>
      <c r="GA127" s="34"/>
    </row>
    <row r="128" spans="1:183" x14ac:dyDescent="0.25">
      <c r="A128" s="6"/>
      <c r="B128" s="25" t="s">
        <v>376</v>
      </c>
      <c r="C128" s="1" t="s">
        <v>375</v>
      </c>
      <c r="D128" s="141">
        <f t="shared" si="31"/>
        <v>4.5</v>
      </c>
      <c r="E128" s="141">
        <v>0</v>
      </c>
      <c r="F128" s="141">
        <v>5</v>
      </c>
      <c r="G128" s="141">
        <v>7</v>
      </c>
      <c r="H128" s="141">
        <v>6</v>
      </c>
      <c r="P128" s="77"/>
      <c r="Q128" s="159">
        <f t="shared" si="32"/>
        <v>3</v>
      </c>
      <c r="R128" s="141">
        <v>0</v>
      </c>
      <c r="S128" s="141">
        <v>1</v>
      </c>
      <c r="T128" s="141">
        <v>3</v>
      </c>
      <c r="U128" s="141">
        <v>3</v>
      </c>
      <c r="V128" s="141">
        <v>3</v>
      </c>
      <c r="W128" s="141">
        <v>3</v>
      </c>
      <c r="X128" s="141">
        <v>4</v>
      </c>
      <c r="Y128" s="141">
        <v>5</v>
      </c>
      <c r="Z128" s="141">
        <v>6</v>
      </c>
      <c r="AA128" s="141">
        <v>2</v>
      </c>
      <c r="AB128" s="141">
        <v>0</v>
      </c>
      <c r="AC128" s="154">
        <v>0</v>
      </c>
      <c r="AD128" s="159">
        <v>2.2999999999999998</v>
      </c>
      <c r="AE128" s="141">
        <v>0</v>
      </c>
      <c r="AF128" s="141">
        <v>1</v>
      </c>
      <c r="AG128" s="141">
        <v>2</v>
      </c>
      <c r="AH128" s="141">
        <v>2</v>
      </c>
      <c r="AI128" s="141">
        <v>2</v>
      </c>
      <c r="AJ128" s="141">
        <v>4</v>
      </c>
      <c r="AK128" s="141">
        <v>4</v>
      </c>
      <c r="AL128" s="141">
        <v>3</v>
      </c>
      <c r="AM128" s="141">
        <v>4</v>
      </c>
      <c r="AN128" s="141">
        <v>1</v>
      </c>
      <c r="AO128" s="141">
        <v>0</v>
      </c>
      <c r="AP128" s="141">
        <v>0</v>
      </c>
      <c r="AQ128" s="9">
        <f t="shared" si="22"/>
        <v>1.7</v>
      </c>
      <c r="AR128" s="3">
        <v>1</v>
      </c>
      <c r="AS128" s="3">
        <v>2</v>
      </c>
      <c r="AT128" s="3">
        <v>1</v>
      </c>
      <c r="AU128" s="3">
        <v>2</v>
      </c>
      <c r="AV128" s="3">
        <v>0</v>
      </c>
      <c r="AW128" s="3">
        <v>1</v>
      </c>
      <c r="AX128" s="3">
        <v>3</v>
      </c>
      <c r="AY128" s="3">
        <v>2</v>
      </c>
      <c r="AZ128" s="3">
        <v>2</v>
      </c>
      <c r="BA128" s="3">
        <v>2</v>
      </c>
      <c r="BB128" s="3">
        <v>1</v>
      </c>
      <c r="BC128" s="3">
        <v>0</v>
      </c>
      <c r="BD128" s="117">
        <v>1.5</v>
      </c>
      <c r="BE128" s="3">
        <v>0</v>
      </c>
      <c r="BF128" s="3">
        <v>0</v>
      </c>
      <c r="BG128" s="3">
        <v>0</v>
      </c>
      <c r="BH128" s="3">
        <v>2</v>
      </c>
      <c r="BI128" s="3">
        <v>2</v>
      </c>
      <c r="BJ128" s="3">
        <v>3</v>
      </c>
      <c r="BK128" s="3">
        <v>1</v>
      </c>
      <c r="BL128" s="3">
        <v>2</v>
      </c>
      <c r="BM128" s="3">
        <v>3</v>
      </c>
      <c r="BN128" s="3">
        <v>2</v>
      </c>
      <c r="BO128" s="3">
        <v>0</v>
      </c>
      <c r="BP128" s="20">
        <v>0</v>
      </c>
      <c r="BQ128" s="11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91"/>
      <c r="CE128" s="3"/>
      <c r="CF128" s="3"/>
      <c r="CG128" s="3"/>
      <c r="CH128" s="3"/>
      <c r="CI128" s="3"/>
      <c r="CJ128" s="3"/>
      <c r="CK128" s="3"/>
      <c r="CL128" s="66"/>
      <c r="CM128" s="66"/>
      <c r="CN128" s="66"/>
      <c r="CO128" s="3"/>
      <c r="CP128" s="3"/>
      <c r="CQ128" s="89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89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89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89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89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97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91"/>
      <c r="FR128" s="102"/>
      <c r="GA128" s="34"/>
    </row>
    <row r="129" spans="1:183" x14ac:dyDescent="0.25">
      <c r="A129" s="6" t="s">
        <v>87</v>
      </c>
      <c r="B129" s="68" t="s">
        <v>54</v>
      </c>
      <c r="C129" s="1" t="s">
        <v>0</v>
      </c>
      <c r="D129" s="141">
        <f t="shared" si="31"/>
        <v>126.25</v>
      </c>
      <c r="E129" s="141">
        <v>87</v>
      </c>
      <c r="F129" s="141">
        <v>124</v>
      </c>
      <c r="G129" s="141">
        <v>146</v>
      </c>
      <c r="H129" s="141">
        <v>148</v>
      </c>
      <c r="P129" s="77"/>
      <c r="Q129" s="159">
        <f t="shared" si="32"/>
        <v>122.3</v>
      </c>
      <c r="R129" s="141">
        <v>82</v>
      </c>
      <c r="S129" s="141">
        <v>106</v>
      </c>
      <c r="T129" s="141">
        <v>117</v>
      </c>
      <c r="U129" s="141">
        <v>110</v>
      </c>
      <c r="V129" s="141">
        <v>112</v>
      </c>
      <c r="W129" s="141">
        <v>131</v>
      </c>
      <c r="X129" s="141">
        <v>131</v>
      </c>
      <c r="Y129" s="141">
        <v>140</v>
      </c>
      <c r="Z129" s="141">
        <v>147</v>
      </c>
      <c r="AA129" s="141">
        <v>147</v>
      </c>
      <c r="AB129" s="141">
        <v>0</v>
      </c>
      <c r="AC129" s="154">
        <v>0</v>
      </c>
      <c r="AD129" s="159">
        <v>100</v>
      </c>
      <c r="AE129" s="141">
        <v>58</v>
      </c>
      <c r="AF129" s="141">
        <v>73</v>
      </c>
      <c r="AG129" s="141">
        <v>86</v>
      </c>
      <c r="AH129" s="141">
        <v>94</v>
      </c>
      <c r="AI129" s="141">
        <v>103</v>
      </c>
      <c r="AJ129" s="141">
        <v>104</v>
      </c>
      <c r="AK129" s="141">
        <v>116</v>
      </c>
      <c r="AL129" s="141">
        <v>118</v>
      </c>
      <c r="AM129" s="141">
        <v>120</v>
      </c>
      <c r="AN129" s="141">
        <v>128</v>
      </c>
      <c r="AO129" s="141">
        <v>0</v>
      </c>
      <c r="AP129" s="141">
        <v>0</v>
      </c>
      <c r="AQ129" s="9">
        <f t="shared" si="22"/>
        <v>76.900000000000006</v>
      </c>
      <c r="AR129" s="3">
        <v>57</v>
      </c>
      <c r="AS129" s="3">
        <v>66</v>
      </c>
      <c r="AT129" s="3">
        <v>88</v>
      </c>
      <c r="AU129" s="3">
        <v>92</v>
      </c>
      <c r="AV129" s="3">
        <v>71</v>
      </c>
      <c r="AW129" s="3">
        <v>75</v>
      </c>
      <c r="AX129" s="3">
        <v>80</v>
      </c>
      <c r="AY129" s="3">
        <v>77</v>
      </c>
      <c r="AZ129" s="3">
        <v>78</v>
      </c>
      <c r="BA129" s="3">
        <v>85</v>
      </c>
      <c r="BB129" s="3">
        <v>0</v>
      </c>
      <c r="BC129" s="3">
        <v>0</v>
      </c>
      <c r="BD129" s="117">
        <v>53.7</v>
      </c>
      <c r="BE129" s="3">
        <v>51</v>
      </c>
      <c r="BF129" s="3">
        <v>56</v>
      </c>
      <c r="BG129" s="3">
        <v>51</v>
      </c>
      <c r="BH129" s="3">
        <v>51</v>
      </c>
      <c r="BI129" s="3">
        <v>49</v>
      </c>
      <c r="BJ129" s="3">
        <v>59</v>
      </c>
      <c r="BK129" s="3">
        <v>60</v>
      </c>
      <c r="BL129" s="3">
        <v>56</v>
      </c>
      <c r="BM129" s="3">
        <v>49</v>
      </c>
      <c r="BN129" s="3">
        <v>55</v>
      </c>
      <c r="BO129" s="3">
        <v>0</v>
      </c>
      <c r="BP129" s="20">
        <v>0</v>
      </c>
      <c r="BQ129" s="65">
        <v>88.5</v>
      </c>
      <c r="BR129" s="3">
        <v>79</v>
      </c>
      <c r="BS129" s="3">
        <v>74</v>
      </c>
      <c r="BT129" s="3">
        <v>73</v>
      </c>
      <c r="BU129" s="3">
        <v>72</v>
      </c>
      <c r="BV129" s="3">
        <v>83</v>
      </c>
      <c r="BW129" s="3">
        <v>93</v>
      </c>
      <c r="BX129" s="3">
        <v>93</v>
      </c>
      <c r="BY129" s="3">
        <v>98</v>
      </c>
      <c r="BZ129" s="3">
        <v>96</v>
      </c>
      <c r="CA129" s="3">
        <v>109</v>
      </c>
      <c r="CB129" s="3">
        <v>0</v>
      </c>
      <c r="CC129" s="3">
        <v>15</v>
      </c>
      <c r="CD129" s="16">
        <v>77.571999999999989</v>
      </c>
      <c r="CE129" s="3">
        <v>66</v>
      </c>
      <c r="CF129" s="3">
        <v>72.33</v>
      </c>
      <c r="CG129" s="3">
        <v>76.67</v>
      </c>
      <c r="CH129" s="3">
        <v>72.47</v>
      </c>
      <c r="CI129" s="3">
        <v>72.53</v>
      </c>
      <c r="CJ129" s="3">
        <v>78.73</v>
      </c>
      <c r="CK129" s="3">
        <v>78.87</v>
      </c>
      <c r="CL129" s="66">
        <v>84.89</v>
      </c>
      <c r="CM129" s="66">
        <v>84.22</v>
      </c>
      <c r="CN129" s="66">
        <v>87.31</v>
      </c>
      <c r="CO129" s="3">
        <v>1.3</v>
      </c>
      <c r="CP129" s="20">
        <v>0.4</v>
      </c>
      <c r="CQ129" s="9">
        <v>92.495000000000005</v>
      </c>
      <c r="CR129" s="3">
        <v>98</v>
      </c>
      <c r="CS129" s="3">
        <v>100.72</v>
      </c>
      <c r="CT129" s="3">
        <v>97.86</v>
      </c>
      <c r="CU129" s="3">
        <v>96.46</v>
      </c>
      <c r="CV129" s="3">
        <v>82.13</v>
      </c>
      <c r="CW129" s="3">
        <v>87.13</v>
      </c>
      <c r="CX129" s="3">
        <v>85.19</v>
      </c>
      <c r="CY129" s="3">
        <v>91.86</v>
      </c>
      <c r="CZ129" s="3">
        <v>91.13</v>
      </c>
      <c r="DA129" s="3">
        <v>94.47</v>
      </c>
      <c r="DB129" s="3">
        <v>0</v>
      </c>
      <c r="DC129" s="3">
        <v>0</v>
      </c>
      <c r="DD129" s="9">
        <v>108.93400000000001</v>
      </c>
      <c r="DE129" s="3">
        <v>102</v>
      </c>
      <c r="DF129" s="3">
        <v>124</v>
      </c>
      <c r="DG129" s="3">
        <v>130</v>
      </c>
      <c r="DH129" s="3">
        <v>112.73</v>
      </c>
      <c r="DI129" s="3">
        <v>79.599999999999994</v>
      </c>
      <c r="DJ129" s="3">
        <v>92.34</v>
      </c>
      <c r="DK129" s="3">
        <v>87.2</v>
      </c>
      <c r="DL129" s="3">
        <v>108.33</v>
      </c>
      <c r="DM129" s="3">
        <v>97.34</v>
      </c>
      <c r="DN129" s="3">
        <v>101.8</v>
      </c>
      <c r="DO129" s="3">
        <v>45</v>
      </c>
      <c r="DP129" s="20">
        <v>9</v>
      </c>
      <c r="DQ129" s="9">
        <v>93</v>
      </c>
      <c r="DR129" s="3">
        <v>76</v>
      </c>
      <c r="DS129" s="3">
        <v>96</v>
      </c>
      <c r="DT129" s="3">
        <v>92</v>
      </c>
      <c r="DU129" s="3">
        <v>102</v>
      </c>
      <c r="DV129" s="3">
        <v>91</v>
      </c>
      <c r="DW129" s="3">
        <v>99</v>
      </c>
      <c r="DX129" s="3">
        <v>93</v>
      </c>
      <c r="DY129" s="3">
        <v>95</v>
      </c>
      <c r="DZ129" s="3">
        <v>77</v>
      </c>
      <c r="EA129" s="3">
        <v>73</v>
      </c>
      <c r="EB129" s="3">
        <v>27</v>
      </c>
      <c r="EC129" s="3">
        <v>9</v>
      </c>
      <c r="ED129" s="9">
        <f t="shared" si="30"/>
        <v>111.8</v>
      </c>
      <c r="EE129" s="3">
        <v>90</v>
      </c>
      <c r="EF129" s="3">
        <v>105</v>
      </c>
      <c r="EG129" s="3">
        <v>115</v>
      </c>
      <c r="EH129" s="3">
        <v>118</v>
      </c>
      <c r="EI129" s="3">
        <v>114</v>
      </c>
      <c r="EJ129" s="3">
        <v>116</v>
      </c>
      <c r="EK129" s="3">
        <v>114</v>
      </c>
      <c r="EL129" s="3">
        <v>108</v>
      </c>
      <c r="EM129" s="3">
        <v>111</v>
      </c>
      <c r="EN129" s="3">
        <v>96</v>
      </c>
      <c r="EO129" s="3">
        <v>22</v>
      </c>
      <c r="EP129" s="3">
        <v>9</v>
      </c>
      <c r="EQ129" s="9">
        <f t="shared" ref="EQ129:EQ135" si="33">+IFERROR((SUM(ER129:FC129)/10),0)</f>
        <v>114.3</v>
      </c>
      <c r="ER129" s="3">
        <v>76</v>
      </c>
      <c r="ES129" s="3">
        <v>114</v>
      </c>
      <c r="ET129" s="3">
        <v>127</v>
      </c>
      <c r="EU129" s="3">
        <v>115</v>
      </c>
      <c r="EV129" s="3">
        <v>128</v>
      </c>
      <c r="EW129" s="3">
        <v>113</v>
      </c>
      <c r="EX129" s="3">
        <v>114</v>
      </c>
      <c r="EY129" s="3">
        <v>117</v>
      </c>
      <c r="EZ129" s="3">
        <v>114</v>
      </c>
      <c r="FA129" s="3">
        <v>104</v>
      </c>
      <c r="FB129" s="3">
        <v>13</v>
      </c>
      <c r="FC129" s="3">
        <v>8</v>
      </c>
      <c r="FD129" s="69">
        <f t="shared" si="29"/>
        <v>50.2</v>
      </c>
      <c r="FE129" s="3">
        <v>7</v>
      </c>
      <c r="FF129" s="3">
        <v>7</v>
      </c>
      <c r="FG129" s="3">
        <v>17</v>
      </c>
      <c r="FH129" s="3">
        <v>35</v>
      </c>
      <c r="FI129" s="3">
        <v>48</v>
      </c>
      <c r="FJ129" s="3">
        <v>54</v>
      </c>
      <c r="FK129" s="3">
        <v>63</v>
      </c>
      <c r="FL129" s="3">
        <v>76</v>
      </c>
      <c r="FM129" s="3">
        <v>81</v>
      </c>
      <c r="FN129" s="3">
        <v>91</v>
      </c>
      <c r="FO129" s="3">
        <v>16</v>
      </c>
      <c r="FP129" s="3">
        <v>7</v>
      </c>
      <c r="FQ129" s="102"/>
      <c r="FR129" s="102"/>
      <c r="GA129" s="34"/>
    </row>
    <row r="130" spans="1:183" x14ac:dyDescent="0.25">
      <c r="A130" s="12" t="s">
        <v>270</v>
      </c>
      <c r="B130" s="27" t="s">
        <v>281</v>
      </c>
      <c r="C130" s="4" t="s">
        <v>282</v>
      </c>
      <c r="D130" s="137">
        <f t="shared" si="31"/>
        <v>3.5</v>
      </c>
      <c r="E130" s="137">
        <v>5</v>
      </c>
      <c r="F130" s="137">
        <v>2</v>
      </c>
      <c r="G130" s="137">
        <v>4</v>
      </c>
      <c r="H130" s="137">
        <v>3</v>
      </c>
      <c r="I130" s="4"/>
      <c r="J130" s="4"/>
      <c r="K130" s="4"/>
      <c r="L130" s="4"/>
      <c r="M130" s="4"/>
      <c r="N130" s="4"/>
      <c r="O130" s="4"/>
      <c r="P130" s="178"/>
      <c r="Q130" s="158">
        <f t="shared" si="32"/>
        <v>6.3</v>
      </c>
      <c r="R130" s="137">
        <v>6</v>
      </c>
      <c r="S130" s="137">
        <v>2</v>
      </c>
      <c r="T130" s="137">
        <v>3</v>
      </c>
      <c r="U130" s="137">
        <v>4</v>
      </c>
      <c r="V130" s="137">
        <v>4</v>
      </c>
      <c r="W130" s="137">
        <v>7</v>
      </c>
      <c r="X130" s="137">
        <v>8</v>
      </c>
      <c r="Y130" s="137">
        <v>11</v>
      </c>
      <c r="Z130" s="137">
        <v>10</v>
      </c>
      <c r="AA130" s="137">
        <v>8</v>
      </c>
      <c r="AB130" s="137">
        <v>0</v>
      </c>
      <c r="AC130" s="140">
        <v>0</v>
      </c>
      <c r="AD130" s="137">
        <v>9.5</v>
      </c>
      <c r="AE130" s="137">
        <v>4</v>
      </c>
      <c r="AF130" s="137">
        <v>4</v>
      </c>
      <c r="AG130" s="137">
        <v>7</v>
      </c>
      <c r="AH130" s="137">
        <v>10</v>
      </c>
      <c r="AI130" s="137">
        <v>12</v>
      </c>
      <c r="AJ130" s="137">
        <v>9</v>
      </c>
      <c r="AK130" s="137">
        <v>12</v>
      </c>
      <c r="AL130" s="137">
        <v>12</v>
      </c>
      <c r="AM130" s="137">
        <v>13</v>
      </c>
      <c r="AN130" s="137">
        <v>12</v>
      </c>
      <c r="AO130" s="137">
        <v>0</v>
      </c>
      <c r="AP130" s="140">
        <v>0</v>
      </c>
      <c r="AQ130" s="8">
        <f t="shared" si="22"/>
        <v>5.8</v>
      </c>
      <c r="AR130" s="14">
        <v>1</v>
      </c>
      <c r="AS130" s="14">
        <v>4</v>
      </c>
      <c r="AT130" s="14">
        <v>5</v>
      </c>
      <c r="AU130" s="14">
        <v>6</v>
      </c>
      <c r="AV130" s="14">
        <v>5</v>
      </c>
      <c r="AW130" s="14">
        <v>6</v>
      </c>
      <c r="AX130" s="14">
        <v>6</v>
      </c>
      <c r="AY130" s="14">
        <v>6</v>
      </c>
      <c r="AZ130" s="14">
        <v>11</v>
      </c>
      <c r="BA130" s="14">
        <v>8</v>
      </c>
      <c r="BB130" s="14">
        <v>0</v>
      </c>
      <c r="BC130" s="19">
        <v>0</v>
      </c>
      <c r="BD130" s="116">
        <v>7.3</v>
      </c>
      <c r="BE130" s="14">
        <v>1</v>
      </c>
      <c r="BF130" s="14">
        <v>5</v>
      </c>
      <c r="BG130" s="14">
        <v>8</v>
      </c>
      <c r="BH130" s="14">
        <v>8</v>
      </c>
      <c r="BI130" s="14">
        <v>10</v>
      </c>
      <c r="BJ130" s="14">
        <v>8</v>
      </c>
      <c r="BK130" s="14">
        <v>8</v>
      </c>
      <c r="BL130" s="14">
        <v>7</v>
      </c>
      <c r="BM130" s="14">
        <v>9</v>
      </c>
      <c r="BN130" s="14">
        <v>9</v>
      </c>
      <c r="BO130" s="14">
        <v>0</v>
      </c>
      <c r="BP130" s="19">
        <v>0</v>
      </c>
      <c r="BQ130" s="70">
        <v>15.5</v>
      </c>
      <c r="BR130" s="14">
        <v>13</v>
      </c>
      <c r="BS130" s="14">
        <v>13</v>
      </c>
      <c r="BT130" s="14">
        <v>12</v>
      </c>
      <c r="BU130" s="14">
        <v>18</v>
      </c>
      <c r="BV130" s="14">
        <v>26</v>
      </c>
      <c r="BW130" s="14">
        <v>16</v>
      </c>
      <c r="BX130" s="14">
        <v>19</v>
      </c>
      <c r="BY130" s="14">
        <v>16</v>
      </c>
      <c r="BZ130" s="14">
        <v>13</v>
      </c>
      <c r="CA130" s="14">
        <v>9</v>
      </c>
      <c r="CB130" s="14">
        <v>0</v>
      </c>
      <c r="CC130" s="14">
        <v>0</v>
      </c>
      <c r="CD130" s="17">
        <v>9.6010000000000009</v>
      </c>
      <c r="CE130" s="14">
        <v>9</v>
      </c>
      <c r="CF130" s="14">
        <v>9</v>
      </c>
      <c r="CG130" s="14">
        <v>11</v>
      </c>
      <c r="CH130" s="14">
        <v>10</v>
      </c>
      <c r="CI130" s="14">
        <v>5</v>
      </c>
      <c r="CJ130" s="14">
        <v>11</v>
      </c>
      <c r="CK130" s="14">
        <v>8</v>
      </c>
      <c r="CL130" s="71">
        <v>12.05</v>
      </c>
      <c r="CM130" s="71">
        <v>10.48</v>
      </c>
      <c r="CN130" s="71">
        <v>10.48</v>
      </c>
      <c r="CO130" s="14">
        <v>0</v>
      </c>
      <c r="CP130" s="19">
        <v>0</v>
      </c>
      <c r="CQ130" s="8">
        <v>20.399999999999999</v>
      </c>
      <c r="CR130" s="14">
        <v>4</v>
      </c>
      <c r="CS130" s="14">
        <v>5</v>
      </c>
      <c r="CT130" s="14">
        <v>14</v>
      </c>
      <c r="CU130" s="14">
        <v>21</v>
      </c>
      <c r="CV130" s="14">
        <v>26</v>
      </c>
      <c r="CW130" s="14">
        <v>25</v>
      </c>
      <c r="CX130" s="14">
        <v>21</v>
      </c>
      <c r="CY130" s="14">
        <v>23</v>
      </c>
      <c r="CZ130" s="14">
        <v>20</v>
      </c>
      <c r="DA130" s="14">
        <v>20</v>
      </c>
      <c r="DB130" s="14">
        <v>13</v>
      </c>
      <c r="DC130" s="14">
        <v>12</v>
      </c>
      <c r="DD130" s="8">
        <v>7.7</v>
      </c>
      <c r="DE130" s="14">
        <v>0</v>
      </c>
      <c r="DF130" s="14">
        <v>0</v>
      </c>
      <c r="DG130" s="14">
        <v>3</v>
      </c>
      <c r="DH130" s="14">
        <v>2</v>
      </c>
      <c r="DI130" s="14">
        <v>3</v>
      </c>
      <c r="DJ130" s="14">
        <v>10</v>
      </c>
      <c r="DK130" s="14">
        <v>16</v>
      </c>
      <c r="DL130" s="14">
        <v>19</v>
      </c>
      <c r="DM130" s="14">
        <v>10</v>
      </c>
      <c r="DN130" s="14">
        <v>11</v>
      </c>
      <c r="DO130" s="14">
        <v>3</v>
      </c>
      <c r="DP130" s="19">
        <v>0</v>
      </c>
      <c r="DQ130" s="98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98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98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00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08"/>
      <c r="FR130" s="108"/>
      <c r="GA130" s="34"/>
    </row>
    <row r="131" spans="1:183" x14ac:dyDescent="0.25">
      <c r="A131" s="11" t="s">
        <v>324</v>
      </c>
      <c r="B131" s="26" t="s">
        <v>328</v>
      </c>
      <c r="C131" s="7" t="s">
        <v>327</v>
      </c>
      <c r="D131" s="142">
        <f t="shared" si="31"/>
        <v>34</v>
      </c>
      <c r="E131" s="142">
        <v>37</v>
      </c>
      <c r="F131" s="142">
        <v>34</v>
      </c>
      <c r="G131" s="142">
        <v>31</v>
      </c>
      <c r="H131" s="142">
        <v>34</v>
      </c>
      <c r="I131" s="7"/>
      <c r="J131" s="7"/>
      <c r="K131" s="7"/>
      <c r="L131" s="7"/>
      <c r="M131" s="7"/>
      <c r="N131" s="7"/>
      <c r="O131" s="7"/>
      <c r="P131" s="179"/>
      <c r="Q131" s="160">
        <f t="shared" si="32"/>
        <v>35.299999999999997</v>
      </c>
      <c r="R131" s="142">
        <v>31</v>
      </c>
      <c r="S131" s="142">
        <v>32</v>
      </c>
      <c r="T131" s="142">
        <v>40</v>
      </c>
      <c r="U131" s="142">
        <v>37</v>
      </c>
      <c r="V131" s="142">
        <v>36</v>
      </c>
      <c r="W131" s="142">
        <v>31</v>
      </c>
      <c r="X131" s="142">
        <v>37</v>
      </c>
      <c r="Y131" s="142">
        <v>37</v>
      </c>
      <c r="Z131" s="142">
        <v>35</v>
      </c>
      <c r="AA131" s="142">
        <v>37</v>
      </c>
      <c r="AB131" s="142">
        <v>0</v>
      </c>
      <c r="AC131" s="155">
        <v>0</v>
      </c>
      <c r="AD131" s="142">
        <v>15.8</v>
      </c>
      <c r="AE131" s="142">
        <v>10</v>
      </c>
      <c r="AF131" s="142">
        <v>8</v>
      </c>
      <c r="AG131" s="142">
        <v>9</v>
      </c>
      <c r="AH131" s="142">
        <v>12</v>
      </c>
      <c r="AI131" s="142">
        <v>15</v>
      </c>
      <c r="AJ131" s="142">
        <v>17</v>
      </c>
      <c r="AK131" s="142">
        <v>19</v>
      </c>
      <c r="AL131" s="142">
        <v>21</v>
      </c>
      <c r="AM131" s="142">
        <v>20</v>
      </c>
      <c r="AN131" s="142">
        <v>21</v>
      </c>
      <c r="AO131" s="142">
        <v>3</v>
      </c>
      <c r="AP131" s="155">
        <v>3</v>
      </c>
      <c r="AQ131" s="10">
        <f t="shared" ref="AQ131:AQ167" si="34">SUM(AR131:BC131)/10</f>
        <v>2.2999999999999998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7</v>
      </c>
      <c r="AZ131" s="15">
        <v>8</v>
      </c>
      <c r="BA131" s="15">
        <v>8</v>
      </c>
      <c r="BB131" s="15">
        <v>0</v>
      </c>
      <c r="BC131" s="21">
        <v>0</v>
      </c>
      <c r="BD131" s="118">
        <v>4.2</v>
      </c>
      <c r="BE131" s="15">
        <v>4</v>
      </c>
      <c r="BF131" s="15">
        <v>4</v>
      </c>
      <c r="BG131" s="15">
        <v>5</v>
      </c>
      <c r="BH131" s="15">
        <v>4</v>
      </c>
      <c r="BI131" s="15">
        <v>4</v>
      </c>
      <c r="BJ131" s="15">
        <v>4</v>
      </c>
      <c r="BK131" s="15">
        <v>4</v>
      </c>
      <c r="BL131" s="15">
        <v>5</v>
      </c>
      <c r="BM131" s="15">
        <v>4</v>
      </c>
      <c r="BN131" s="15">
        <v>4</v>
      </c>
      <c r="BO131" s="15">
        <v>0</v>
      </c>
      <c r="BP131" s="21">
        <v>0</v>
      </c>
      <c r="BQ131" s="73">
        <v>2.6</v>
      </c>
      <c r="BR131" s="15">
        <v>3</v>
      </c>
      <c r="BS131" s="15">
        <v>3</v>
      </c>
      <c r="BT131" s="15">
        <v>4</v>
      </c>
      <c r="BU131" s="15">
        <v>4</v>
      </c>
      <c r="BV131" s="15">
        <v>2</v>
      </c>
      <c r="BW131" s="15">
        <v>1</v>
      </c>
      <c r="BX131" s="15">
        <v>2</v>
      </c>
      <c r="BY131" s="15">
        <v>2</v>
      </c>
      <c r="BZ131" s="15">
        <v>3</v>
      </c>
      <c r="CA131" s="15">
        <v>2</v>
      </c>
      <c r="CB131" s="15">
        <v>0</v>
      </c>
      <c r="CC131" s="15">
        <v>0</v>
      </c>
      <c r="CD131" s="18">
        <v>2.343</v>
      </c>
      <c r="CE131" s="15">
        <v>0</v>
      </c>
      <c r="CF131" s="15">
        <v>0</v>
      </c>
      <c r="CG131" s="15">
        <v>3</v>
      </c>
      <c r="CH131" s="15">
        <v>7</v>
      </c>
      <c r="CI131" s="15">
        <v>4</v>
      </c>
      <c r="CJ131" s="15">
        <v>2</v>
      </c>
      <c r="CK131" s="15">
        <v>1</v>
      </c>
      <c r="CL131" s="74">
        <v>2.15</v>
      </c>
      <c r="CM131" s="74">
        <v>2.19</v>
      </c>
      <c r="CN131" s="74">
        <v>2.09</v>
      </c>
      <c r="CO131" s="15">
        <v>0</v>
      </c>
      <c r="CP131" s="21">
        <v>0</v>
      </c>
      <c r="CQ131" s="10">
        <v>0</v>
      </c>
      <c r="CR131" s="15"/>
      <c r="CS131" s="15"/>
      <c r="CT131" s="15"/>
      <c r="CU131" s="15"/>
      <c r="CV131" s="15"/>
      <c r="CW131" s="15"/>
      <c r="CX131" s="7"/>
      <c r="CY131" s="15">
        <v>0</v>
      </c>
      <c r="CZ131" s="15">
        <v>0</v>
      </c>
      <c r="DA131" s="15">
        <v>0</v>
      </c>
      <c r="DB131" s="15">
        <v>0</v>
      </c>
      <c r="DC131" s="15">
        <v>0</v>
      </c>
      <c r="DD131" s="104"/>
      <c r="DE131" s="15"/>
      <c r="DF131" s="15"/>
      <c r="DG131" s="15"/>
      <c r="DH131" s="15"/>
      <c r="DI131" s="15"/>
      <c r="DJ131" s="15"/>
      <c r="DK131" s="15"/>
      <c r="DL131" s="15"/>
      <c r="DM131" s="15"/>
      <c r="DN131" s="7"/>
      <c r="DO131" s="7"/>
      <c r="DP131" s="7"/>
      <c r="DQ131" s="104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04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04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06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03"/>
      <c r="FR131" s="103"/>
      <c r="GA131" s="34"/>
    </row>
    <row r="132" spans="1:183" x14ac:dyDescent="0.25">
      <c r="A132" s="6" t="s">
        <v>171</v>
      </c>
      <c r="B132" s="25" t="s">
        <v>172</v>
      </c>
      <c r="C132" s="1" t="s">
        <v>173</v>
      </c>
      <c r="D132" s="141">
        <f t="shared" si="31"/>
        <v>2</v>
      </c>
      <c r="E132" s="141">
        <v>1</v>
      </c>
      <c r="F132" s="141">
        <v>2</v>
      </c>
      <c r="G132" s="141">
        <v>3</v>
      </c>
      <c r="H132" s="141">
        <v>2</v>
      </c>
      <c r="P132" s="77"/>
      <c r="Q132" s="159">
        <f t="shared" si="32"/>
        <v>3.8</v>
      </c>
      <c r="R132" s="141">
        <v>1</v>
      </c>
      <c r="S132" s="141">
        <v>2</v>
      </c>
      <c r="T132" s="141">
        <v>2</v>
      </c>
      <c r="U132" s="141">
        <v>3</v>
      </c>
      <c r="V132" s="141">
        <v>4</v>
      </c>
      <c r="W132" s="141">
        <v>5</v>
      </c>
      <c r="X132" s="141">
        <v>5</v>
      </c>
      <c r="Y132" s="141">
        <v>6</v>
      </c>
      <c r="Z132" s="141">
        <v>3</v>
      </c>
      <c r="AA132" s="141">
        <v>3</v>
      </c>
      <c r="AB132" s="141">
        <v>3</v>
      </c>
      <c r="AC132" s="154">
        <v>1</v>
      </c>
      <c r="AD132" s="159">
        <v>2.4</v>
      </c>
      <c r="AE132" s="141">
        <v>2</v>
      </c>
      <c r="AF132" s="141">
        <v>2</v>
      </c>
      <c r="AG132" s="141">
        <v>2</v>
      </c>
      <c r="AH132" s="141">
        <v>2</v>
      </c>
      <c r="AI132" s="141">
        <v>2</v>
      </c>
      <c r="AJ132" s="141">
        <v>2</v>
      </c>
      <c r="AK132" s="141">
        <v>2</v>
      </c>
      <c r="AL132" s="141">
        <v>2</v>
      </c>
      <c r="AM132" s="141">
        <v>2</v>
      </c>
      <c r="AN132" s="141">
        <v>2</v>
      </c>
      <c r="AO132" s="141">
        <v>2</v>
      </c>
      <c r="AP132" s="141">
        <v>2</v>
      </c>
      <c r="AQ132" s="9">
        <f t="shared" si="34"/>
        <v>4.5999999999999996</v>
      </c>
      <c r="AR132" s="3">
        <v>5</v>
      </c>
      <c r="AS132" s="3">
        <v>5</v>
      </c>
      <c r="AT132" s="3">
        <v>4</v>
      </c>
      <c r="AU132" s="3">
        <v>6</v>
      </c>
      <c r="AV132" s="3">
        <v>4</v>
      </c>
      <c r="AW132" s="3">
        <v>6</v>
      </c>
      <c r="AX132" s="3">
        <v>6</v>
      </c>
      <c r="AY132" s="3">
        <v>3</v>
      </c>
      <c r="AZ132" s="3">
        <v>2</v>
      </c>
      <c r="BA132" s="3">
        <v>2</v>
      </c>
      <c r="BB132" s="3">
        <v>2</v>
      </c>
      <c r="BC132" s="3">
        <v>1</v>
      </c>
      <c r="BD132" s="117">
        <v>6</v>
      </c>
      <c r="BE132" s="3">
        <v>4</v>
      </c>
      <c r="BF132" s="3">
        <v>2</v>
      </c>
      <c r="BG132" s="3">
        <v>6</v>
      </c>
      <c r="BH132" s="3">
        <v>5</v>
      </c>
      <c r="BI132" s="3">
        <v>5</v>
      </c>
      <c r="BJ132" s="3">
        <v>4</v>
      </c>
      <c r="BK132" s="3">
        <v>6</v>
      </c>
      <c r="BL132" s="3">
        <v>7</v>
      </c>
      <c r="BM132" s="3">
        <v>7</v>
      </c>
      <c r="BN132" s="3">
        <v>5</v>
      </c>
      <c r="BO132" s="3">
        <v>5</v>
      </c>
      <c r="BP132" s="20">
        <v>4</v>
      </c>
      <c r="BQ132" s="65">
        <v>7.8</v>
      </c>
      <c r="BR132" s="3">
        <v>6</v>
      </c>
      <c r="BS132" s="3">
        <v>5</v>
      </c>
      <c r="BT132" s="3">
        <v>7</v>
      </c>
      <c r="BU132" s="3">
        <v>7</v>
      </c>
      <c r="BV132" s="3">
        <v>5</v>
      </c>
      <c r="BW132" s="3">
        <v>6</v>
      </c>
      <c r="BX132" s="3">
        <v>6</v>
      </c>
      <c r="BY132" s="3">
        <v>8</v>
      </c>
      <c r="BZ132" s="3">
        <v>8</v>
      </c>
      <c r="CA132" s="3">
        <v>9</v>
      </c>
      <c r="CB132" s="3">
        <v>9</v>
      </c>
      <c r="CC132" s="3">
        <v>2</v>
      </c>
      <c r="CD132" s="16">
        <v>7.0200000000000014</v>
      </c>
      <c r="CE132" s="3">
        <v>3</v>
      </c>
      <c r="CF132" s="3">
        <v>9</v>
      </c>
      <c r="CG132" s="3">
        <v>8</v>
      </c>
      <c r="CH132" s="3">
        <v>11</v>
      </c>
      <c r="CI132" s="3">
        <v>6.2</v>
      </c>
      <c r="CJ132" s="3">
        <v>6.2</v>
      </c>
      <c r="CK132" s="3">
        <v>5.2</v>
      </c>
      <c r="CL132" s="66">
        <v>6.2</v>
      </c>
      <c r="CM132" s="66">
        <v>4.6500000000000004</v>
      </c>
      <c r="CN132" s="66">
        <v>7.75</v>
      </c>
      <c r="CO132" s="3">
        <v>1</v>
      </c>
      <c r="CP132" s="3">
        <v>2</v>
      </c>
      <c r="CQ132" s="9">
        <v>4.5999999999999996</v>
      </c>
      <c r="CR132" s="3">
        <v>1</v>
      </c>
      <c r="CS132" s="3">
        <v>4</v>
      </c>
      <c r="CT132" s="3">
        <v>3</v>
      </c>
      <c r="CU132" s="3">
        <v>3</v>
      </c>
      <c r="CV132" s="3">
        <v>6</v>
      </c>
      <c r="CW132" s="3">
        <v>7</v>
      </c>
      <c r="CX132" s="3">
        <v>4</v>
      </c>
      <c r="CY132" s="3">
        <v>4</v>
      </c>
      <c r="CZ132" s="3">
        <v>3</v>
      </c>
      <c r="DA132" s="3">
        <v>5</v>
      </c>
      <c r="DB132" s="3">
        <v>4</v>
      </c>
      <c r="DC132" s="3">
        <v>2</v>
      </c>
      <c r="DD132" s="9">
        <v>5.3</v>
      </c>
      <c r="DE132" s="3">
        <v>6</v>
      </c>
      <c r="DF132" s="3">
        <v>9</v>
      </c>
      <c r="DG132" s="3">
        <v>7</v>
      </c>
      <c r="DH132" s="3">
        <v>6</v>
      </c>
      <c r="DI132" s="3">
        <v>4</v>
      </c>
      <c r="DJ132" s="3">
        <v>3</v>
      </c>
      <c r="DK132" s="3">
        <v>3</v>
      </c>
      <c r="DL132" s="3">
        <v>4</v>
      </c>
      <c r="DM132" s="3">
        <v>4</v>
      </c>
      <c r="DN132" s="3">
        <v>3</v>
      </c>
      <c r="DO132" s="3">
        <v>2</v>
      </c>
      <c r="DP132" s="20">
        <v>2</v>
      </c>
      <c r="DQ132" s="9">
        <v>4.7</v>
      </c>
      <c r="DR132" s="3">
        <v>2</v>
      </c>
      <c r="DS132" s="3">
        <v>4</v>
      </c>
      <c r="DT132" s="3">
        <v>4</v>
      </c>
      <c r="DU132" s="3">
        <v>4</v>
      </c>
      <c r="DV132" s="3">
        <v>2</v>
      </c>
      <c r="DW132" s="3">
        <v>3</v>
      </c>
      <c r="DX132" s="3">
        <v>1</v>
      </c>
      <c r="DY132" s="3">
        <v>5</v>
      </c>
      <c r="DZ132" s="3">
        <v>5</v>
      </c>
      <c r="EA132" s="3">
        <v>6</v>
      </c>
      <c r="EB132" s="3">
        <v>6</v>
      </c>
      <c r="EC132" s="3">
        <v>5</v>
      </c>
      <c r="ED132" s="9">
        <f t="shared" si="30"/>
        <v>4.9000000000000004</v>
      </c>
      <c r="EE132" s="3">
        <v>2</v>
      </c>
      <c r="EF132" s="3">
        <v>6</v>
      </c>
      <c r="EG132" s="3">
        <v>4</v>
      </c>
      <c r="EH132" s="3">
        <v>7</v>
      </c>
      <c r="EI132" s="3">
        <v>3</v>
      </c>
      <c r="EJ132" s="3">
        <v>5</v>
      </c>
      <c r="EK132" s="3">
        <v>6</v>
      </c>
      <c r="EL132" s="3">
        <v>6</v>
      </c>
      <c r="EM132" s="3">
        <v>2</v>
      </c>
      <c r="EN132" s="3">
        <v>4</v>
      </c>
      <c r="EO132" s="3">
        <v>3</v>
      </c>
      <c r="EP132" s="3">
        <v>1</v>
      </c>
      <c r="EQ132" s="9">
        <f t="shared" si="33"/>
        <v>5.2</v>
      </c>
      <c r="ER132" s="3"/>
      <c r="ES132" s="3"/>
      <c r="ET132" s="3"/>
      <c r="EU132" s="3"/>
      <c r="EV132" s="3">
        <v>4</v>
      </c>
      <c r="EW132" s="3">
        <v>7</v>
      </c>
      <c r="EX132" s="3">
        <v>8</v>
      </c>
      <c r="EY132" s="3">
        <v>12</v>
      </c>
      <c r="EZ132" s="3">
        <v>9</v>
      </c>
      <c r="FA132" s="3">
        <v>8</v>
      </c>
      <c r="FB132" s="3">
        <v>3</v>
      </c>
      <c r="FC132" s="3">
        <v>1</v>
      </c>
      <c r="FD132" s="89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102"/>
      <c r="FR132" s="102"/>
      <c r="GA132" s="34"/>
    </row>
    <row r="133" spans="1:183" x14ac:dyDescent="0.25">
      <c r="A133" s="6" t="s">
        <v>159</v>
      </c>
      <c r="B133" s="68" t="s">
        <v>33</v>
      </c>
      <c r="C133" s="1" t="s">
        <v>34</v>
      </c>
      <c r="D133" s="141">
        <f t="shared" si="31"/>
        <v>0</v>
      </c>
      <c r="E133" s="141">
        <v>0</v>
      </c>
      <c r="F133" s="141">
        <v>0</v>
      </c>
      <c r="G133" s="141">
        <v>0</v>
      </c>
      <c r="H133" s="141">
        <v>0</v>
      </c>
      <c r="P133" s="77"/>
      <c r="Q133" s="159">
        <f t="shared" si="32"/>
        <v>0</v>
      </c>
      <c r="R133" s="141">
        <v>0</v>
      </c>
      <c r="S133" s="141">
        <v>0</v>
      </c>
      <c r="T133" s="141">
        <v>0</v>
      </c>
      <c r="U133" s="141">
        <v>0</v>
      </c>
      <c r="V133" s="141">
        <v>0</v>
      </c>
      <c r="W133" s="141">
        <v>0</v>
      </c>
      <c r="X133" s="141">
        <v>0</v>
      </c>
      <c r="Y133" s="141">
        <v>0</v>
      </c>
      <c r="Z133" s="141">
        <v>0</v>
      </c>
      <c r="AA133" s="141">
        <v>0</v>
      </c>
      <c r="AB133" s="141">
        <v>0</v>
      </c>
      <c r="AC133" s="154">
        <v>0</v>
      </c>
      <c r="AD133" s="159">
        <v>4.7</v>
      </c>
      <c r="AE133" s="141">
        <v>4</v>
      </c>
      <c r="AF133" s="141">
        <v>6</v>
      </c>
      <c r="AG133" s="141">
        <v>6</v>
      </c>
      <c r="AH133" s="141">
        <v>6</v>
      </c>
      <c r="AI133" s="141">
        <v>5</v>
      </c>
      <c r="AJ133" s="141">
        <v>6</v>
      </c>
      <c r="AK133" s="141">
        <v>5</v>
      </c>
      <c r="AL133" s="141">
        <v>1</v>
      </c>
      <c r="AM133" s="141">
        <v>4</v>
      </c>
      <c r="AN133" s="141">
        <v>4</v>
      </c>
      <c r="AO133" s="141">
        <v>0</v>
      </c>
      <c r="AP133" s="141">
        <v>0</v>
      </c>
      <c r="AQ133" s="9">
        <f t="shared" si="34"/>
        <v>2.2000000000000002</v>
      </c>
      <c r="AR133" s="3">
        <v>1</v>
      </c>
      <c r="AS133" s="3">
        <v>1</v>
      </c>
      <c r="AT133" s="3">
        <v>2</v>
      </c>
      <c r="AU133" s="3">
        <v>3</v>
      </c>
      <c r="AV133" s="3">
        <v>0</v>
      </c>
      <c r="AW133" s="3">
        <v>2</v>
      </c>
      <c r="AX133" s="3">
        <v>3</v>
      </c>
      <c r="AY133" s="3">
        <v>4</v>
      </c>
      <c r="AZ133" s="3">
        <v>2</v>
      </c>
      <c r="BA133" s="3">
        <v>4</v>
      </c>
      <c r="BB133" s="3">
        <v>0</v>
      </c>
      <c r="BC133" s="3">
        <v>0</v>
      </c>
      <c r="BD133" s="117">
        <v>1.9</v>
      </c>
      <c r="BE133" s="3">
        <v>2</v>
      </c>
      <c r="BF133" s="3">
        <v>1</v>
      </c>
      <c r="BG133" s="3">
        <v>2</v>
      </c>
      <c r="BH133" s="3">
        <v>2</v>
      </c>
      <c r="BI133" s="3">
        <v>3</v>
      </c>
      <c r="BJ133" s="3">
        <v>3</v>
      </c>
      <c r="BK133" s="3">
        <v>2</v>
      </c>
      <c r="BL133" s="3">
        <v>2</v>
      </c>
      <c r="BM133" s="3">
        <v>1</v>
      </c>
      <c r="BN133" s="3">
        <v>1</v>
      </c>
      <c r="BO133" s="3">
        <v>0</v>
      </c>
      <c r="BP133" s="20">
        <v>0</v>
      </c>
      <c r="BQ133" s="65">
        <v>3.8</v>
      </c>
      <c r="BR133" s="3">
        <v>3</v>
      </c>
      <c r="BS133" s="3">
        <v>5</v>
      </c>
      <c r="BT133" s="3">
        <v>4</v>
      </c>
      <c r="BU133" s="3">
        <v>3</v>
      </c>
      <c r="BV133" s="3">
        <v>3</v>
      </c>
      <c r="BW133" s="3">
        <v>3</v>
      </c>
      <c r="BX133" s="3">
        <v>4</v>
      </c>
      <c r="BY133" s="3">
        <v>5</v>
      </c>
      <c r="BZ133" s="3">
        <v>3</v>
      </c>
      <c r="CA133" s="3">
        <v>5</v>
      </c>
      <c r="CB133" s="3">
        <v>0</v>
      </c>
      <c r="CC133" s="3">
        <v>0</v>
      </c>
      <c r="CD133" s="16">
        <v>3.1870000000000003</v>
      </c>
      <c r="CE133" s="3">
        <v>0</v>
      </c>
      <c r="CF133" s="3">
        <v>2</v>
      </c>
      <c r="CG133" s="3">
        <v>3</v>
      </c>
      <c r="CH133" s="3">
        <v>3</v>
      </c>
      <c r="CI133" s="3">
        <v>2</v>
      </c>
      <c r="CJ133" s="3">
        <v>4</v>
      </c>
      <c r="CK133" s="3">
        <v>5</v>
      </c>
      <c r="CL133" s="66">
        <v>4.3</v>
      </c>
      <c r="CM133" s="66">
        <v>4.38</v>
      </c>
      <c r="CN133" s="66">
        <v>4.1900000000000004</v>
      </c>
      <c r="CO133" s="3">
        <v>0</v>
      </c>
      <c r="CP133" s="3">
        <v>0</v>
      </c>
      <c r="CQ133" s="9">
        <v>0.1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1</v>
      </c>
      <c r="DA133" s="3">
        <v>0</v>
      </c>
      <c r="DB133" s="3">
        <v>0</v>
      </c>
      <c r="DC133" s="3">
        <v>0</v>
      </c>
      <c r="DD133" s="9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20">
        <v>0</v>
      </c>
      <c r="DQ133" s="9">
        <v>1.3</v>
      </c>
      <c r="DR133" s="3">
        <v>2</v>
      </c>
      <c r="DS133" s="3">
        <v>2</v>
      </c>
      <c r="DT133" s="3">
        <v>2</v>
      </c>
      <c r="DU133" s="3">
        <v>1</v>
      </c>
      <c r="DV133" s="3">
        <v>1</v>
      </c>
      <c r="DW133" s="3">
        <v>2</v>
      </c>
      <c r="DX133" s="3">
        <v>1</v>
      </c>
      <c r="DY133" s="3">
        <v>2</v>
      </c>
      <c r="DZ133" s="3">
        <v>0</v>
      </c>
      <c r="EA133" s="3">
        <v>0</v>
      </c>
      <c r="EB133" s="3">
        <v>0</v>
      </c>
      <c r="EC133" s="3">
        <v>0</v>
      </c>
      <c r="ED133" s="9">
        <f t="shared" si="30"/>
        <v>1.2</v>
      </c>
      <c r="EE133" s="3">
        <v>0</v>
      </c>
      <c r="EF133" s="3">
        <v>1</v>
      </c>
      <c r="EG133" s="3">
        <v>1</v>
      </c>
      <c r="EH133" s="3">
        <v>1</v>
      </c>
      <c r="EI133" s="3">
        <v>0</v>
      </c>
      <c r="EJ133" s="3">
        <v>0</v>
      </c>
      <c r="EK133" s="3">
        <v>1</v>
      </c>
      <c r="EL133" s="3">
        <v>3</v>
      </c>
      <c r="EM133" s="3">
        <v>2</v>
      </c>
      <c r="EN133" s="3">
        <v>1</v>
      </c>
      <c r="EO133" s="3">
        <v>1</v>
      </c>
      <c r="EP133" s="3">
        <v>1</v>
      </c>
      <c r="EQ133" s="9">
        <f t="shared" si="33"/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69">
        <f t="shared" si="29"/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16">
        <v>0</v>
      </c>
      <c r="FR133" s="102"/>
      <c r="GA133" s="34"/>
    </row>
    <row r="134" spans="1:183" x14ac:dyDescent="0.25">
      <c r="A134" s="6"/>
      <c r="B134" s="174" t="s">
        <v>431</v>
      </c>
      <c r="C134" s="175" t="s">
        <v>432</v>
      </c>
      <c r="D134" s="141">
        <f t="shared" si="31"/>
        <v>3.25</v>
      </c>
      <c r="E134" s="141">
        <v>0</v>
      </c>
      <c r="F134" s="141">
        <v>5</v>
      </c>
      <c r="G134" s="141">
        <v>4</v>
      </c>
      <c r="H134" s="141">
        <v>4</v>
      </c>
      <c r="P134" s="77"/>
      <c r="Q134" s="159">
        <f t="shared" si="32"/>
        <v>0</v>
      </c>
      <c r="R134" s="87"/>
      <c r="S134" s="87"/>
      <c r="T134" s="87"/>
      <c r="U134" s="87"/>
      <c r="V134" s="87"/>
      <c r="W134" s="141">
        <v>0</v>
      </c>
      <c r="X134" s="141">
        <v>0</v>
      </c>
      <c r="Y134" s="141">
        <v>0</v>
      </c>
      <c r="Z134" s="141">
        <v>0</v>
      </c>
      <c r="AA134" s="141">
        <v>0</v>
      </c>
      <c r="AB134" s="141">
        <v>0</v>
      </c>
      <c r="AC134" s="154">
        <v>0</v>
      </c>
      <c r="AD134" s="89"/>
      <c r="AE134" s="141"/>
      <c r="AF134" s="141"/>
      <c r="AG134" s="141"/>
      <c r="AH134" s="141"/>
      <c r="AI134" s="141"/>
      <c r="AJ134" s="141"/>
      <c r="AK134" s="141"/>
      <c r="AL134" s="141"/>
      <c r="AM134" s="141"/>
      <c r="AN134" s="141"/>
      <c r="AO134" s="141"/>
      <c r="AP134" s="141"/>
      <c r="AQ134" s="89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129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90"/>
      <c r="BQ134" s="113"/>
      <c r="BR134" s="87"/>
      <c r="BS134" s="87"/>
      <c r="BT134" s="87"/>
      <c r="BU134" s="87"/>
      <c r="BV134" s="87"/>
      <c r="BW134" s="87"/>
      <c r="BX134" s="87"/>
      <c r="BY134" s="87"/>
      <c r="BZ134" s="87"/>
      <c r="CA134" s="87"/>
      <c r="CB134" s="87"/>
      <c r="CC134" s="87"/>
      <c r="CD134" s="91"/>
      <c r="CE134" s="87"/>
      <c r="CF134" s="87"/>
      <c r="CG134" s="87"/>
      <c r="CH134" s="87"/>
      <c r="CI134" s="87"/>
      <c r="CJ134" s="87"/>
      <c r="CK134" s="87"/>
      <c r="CL134" s="92"/>
      <c r="CM134" s="92"/>
      <c r="CN134" s="92"/>
      <c r="CO134" s="87"/>
      <c r="CP134" s="87"/>
      <c r="CQ134" s="89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9"/>
      <c r="DE134" s="87"/>
      <c r="DF134" s="87"/>
      <c r="DG134" s="87"/>
      <c r="DH134" s="87"/>
      <c r="DI134" s="87"/>
      <c r="DJ134" s="87"/>
      <c r="DK134" s="87"/>
      <c r="DL134" s="87"/>
      <c r="DM134" s="87"/>
      <c r="DN134" s="87"/>
      <c r="DO134" s="87"/>
      <c r="DP134" s="90"/>
      <c r="DQ134" s="89"/>
      <c r="DR134" s="87"/>
      <c r="DS134" s="87"/>
      <c r="DT134" s="87"/>
      <c r="DU134" s="87"/>
      <c r="DV134" s="87"/>
      <c r="DW134" s="87"/>
      <c r="DX134" s="87"/>
      <c r="DY134" s="87"/>
      <c r="DZ134" s="87"/>
      <c r="EA134" s="87"/>
      <c r="EB134" s="87"/>
      <c r="EC134" s="87"/>
      <c r="ED134" s="89"/>
      <c r="EE134" s="87"/>
      <c r="EF134" s="87"/>
      <c r="EG134" s="87"/>
      <c r="EH134" s="87"/>
      <c r="EI134" s="87"/>
      <c r="EJ134" s="87"/>
      <c r="EK134" s="87"/>
      <c r="EL134" s="87"/>
      <c r="EM134" s="87"/>
      <c r="EN134" s="87"/>
      <c r="EO134" s="87"/>
      <c r="EP134" s="87"/>
      <c r="EQ134" s="89"/>
      <c r="ER134" s="87"/>
      <c r="ES134" s="87"/>
      <c r="ET134" s="87"/>
      <c r="EU134" s="87"/>
      <c r="EV134" s="87"/>
      <c r="EW134" s="87"/>
      <c r="EX134" s="87"/>
      <c r="EY134" s="87"/>
      <c r="EZ134" s="87"/>
      <c r="FA134" s="87"/>
      <c r="FB134" s="87"/>
      <c r="FC134" s="87"/>
      <c r="FD134" s="97"/>
      <c r="FE134" s="87"/>
      <c r="FF134" s="87"/>
      <c r="FG134" s="87"/>
      <c r="FH134" s="87"/>
      <c r="FI134" s="87"/>
      <c r="FJ134" s="87"/>
      <c r="FK134" s="87"/>
      <c r="FL134" s="87"/>
      <c r="FM134" s="87"/>
      <c r="FN134" s="87"/>
      <c r="FO134" s="87"/>
      <c r="FP134" s="87"/>
      <c r="FQ134" s="91"/>
      <c r="FR134" s="102"/>
      <c r="GA134" s="34"/>
    </row>
    <row r="135" spans="1:183" x14ac:dyDescent="0.25">
      <c r="A135" s="6" t="s">
        <v>87</v>
      </c>
      <c r="B135" s="68" t="s">
        <v>53</v>
      </c>
      <c r="C135" s="1" t="s">
        <v>65</v>
      </c>
      <c r="D135" s="141">
        <f t="shared" si="31"/>
        <v>41.25</v>
      </c>
      <c r="E135" s="141">
        <v>38</v>
      </c>
      <c r="F135" s="141">
        <v>41</v>
      </c>
      <c r="G135" s="141">
        <v>43</v>
      </c>
      <c r="H135" s="141">
        <v>43</v>
      </c>
      <c r="P135" s="77"/>
      <c r="Q135" s="159">
        <f t="shared" si="32"/>
        <v>53</v>
      </c>
      <c r="R135" s="141">
        <v>42</v>
      </c>
      <c r="S135" s="141">
        <v>39</v>
      </c>
      <c r="T135" s="141">
        <v>44</v>
      </c>
      <c r="U135" s="141">
        <v>50</v>
      </c>
      <c r="V135" s="141">
        <v>53</v>
      </c>
      <c r="W135" s="141">
        <v>52</v>
      </c>
      <c r="X135" s="141">
        <v>53</v>
      </c>
      <c r="Y135" s="141">
        <v>53</v>
      </c>
      <c r="Z135" s="141">
        <v>51</v>
      </c>
      <c r="AA135" s="141">
        <v>43</v>
      </c>
      <c r="AB135" s="141">
        <v>27</v>
      </c>
      <c r="AC135" s="154">
        <v>23</v>
      </c>
      <c r="AD135" s="159">
        <v>52</v>
      </c>
      <c r="AE135" s="141">
        <v>30</v>
      </c>
      <c r="AF135" s="141">
        <v>33</v>
      </c>
      <c r="AG135" s="141">
        <v>39</v>
      </c>
      <c r="AH135" s="141">
        <v>36</v>
      </c>
      <c r="AI135" s="141">
        <v>45</v>
      </c>
      <c r="AJ135" s="141">
        <v>53</v>
      </c>
      <c r="AK135" s="141">
        <v>52</v>
      </c>
      <c r="AL135" s="141">
        <v>54</v>
      </c>
      <c r="AM135" s="141">
        <v>51</v>
      </c>
      <c r="AN135" s="141">
        <v>50</v>
      </c>
      <c r="AO135" s="141">
        <v>45</v>
      </c>
      <c r="AP135" s="141">
        <v>32</v>
      </c>
      <c r="AQ135" s="9">
        <f t="shared" si="34"/>
        <v>42.9</v>
      </c>
      <c r="AR135" s="3">
        <v>22</v>
      </c>
      <c r="AS135" s="3">
        <v>24</v>
      </c>
      <c r="AT135" s="3">
        <v>35</v>
      </c>
      <c r="AU135" s="3">
        <v>30</v>
      </c>
      <c r="AV135" s="3">
        <v>36</v>
      </c>
      <c r="AW135" s="3">
        <v>41</v>
      </c>
      <c r="AX135" s="3">
        <v>50</v>
      </c>
      <c r="AY135" s="3">
        <v>42</v>
      </c>
      <c r="AZ135" s="3">
        <v>36</v>
      </c>
      <c r="BA135" s="3">
        <v>42</v>
      </c>
      <c r="BB135" s="3">
        <v>34</v>
      </c>
      <c r="BC135" s="3">
        <v>37</v>
      </c>
      <c r="BD135" s="117">
        <v>20.795999999999999</v>
      </c>
      <c r="BE135" s="3">
        <v>11.98</v>
      </c>
      <c r="BF135" s="3">
        <v>9.98</v>
      </c>
      <c r="BG135" s="3">
        <v>13</v>
      </c>
      <c r="BH135" s="3">
        <v>16</v>
      </c>
      <c r="BI135" s="3">
        <v>14</v>
      </c>
      <c r="BJ135" s="3">
        <v>19</v>
      </c>
      <c r="BK135" s="3">
        <v>18</v>
      </c>
      <c r="BL135" s="3">
        <v>20</v>
      </c>
      <c r="BM135" s="3">
        <v>18</v>
      </c>
      <c r="BN135" s="3">
        <v>26</v>
      </c>
      <c r="BO135" s="3">
        <v>26</v>
      </c>
      <c r="BP135" s="20">
        <v>16</v>
      </c>
      <c r="BQ135" s="65">
        <v>42.9</v>
      </c>
      <c r="BR135" s="3">
        <v>16</v>
      </c>
      <c r="BS135" s="3">
        <v>21</v>
      </c>
      <c r="BT135" s="3">
        <v>48</v>
      </c>
      <c r="BU135" s="3">
        <v>47</v>
      </c>
      <c r="BV135" s="3">
        <v>41</v>
      </c>
      <c r="BW135" s="3">
        <v>47</v>
      </c>
      <c r="BX135" s="3">
        <v>48</v>
      </c>
      <c r="BY135" s="3">
        <v>52</v>
      </c>
      <c r="BZ135" s="3">
        <v>39</v>
      </c>
      <c r="CA135" s="3">
        <v>32</v>
      </c>
      <c r="CB135" s="3">
        <v>22</v>
      </c>
      <c r="CC135" s="3">
        <v>16</v>
      </c>
      <c r="CD135" s="16">
        <v>65.152999999999992</v>
      </c>
      <c r="CE135" s="3">
        <v>35</v>
      </c>
      <c r="CF135" s="3">
        <v>46</v>
      </c>
      <c r="CG135" s="3">
        <v>64</v>
      </c>
      <c r="CH135" s="3">
        <v>62</v>
      </c>
      <c r="CI135" s="3">
        <v>51.6</v>
      </c>
      <c r="CJ135" s="3">
        <v>63</v>
      </c>
      <c r="CK135" s="3">
        <v>71</v>
      </c>
      <c r="CL135" s="66">
        <v>74.709999999999994</v>
      </c>
      <c r="CM135" s="66">
        <v>90.91</v>
      </c>
      <c r="CN135" s="66">
        <v>60.31</v>
      </c>
      <c r="CO135" s="3">
        <v>17</v>
      </c>
      <c r="CP135" s="3">
        <v>16</v>
      </c>
      <c r="CQ135" s="9">
        <v>70.382999999999996</v>
      </c>
      <c r="CR135" s="3">
        <v>51.97</v>
      </c>
      <c r="CS135" s="3">
        <v>46.31</v>
      </c>
      <c r="CT135" s="3">
        <v>40.299999999999997</v>
      </c>
      <c r="CU135" s="3">
        <v>71.97</v>
      </c>
      <c r="CV135" s="3">
        <v>48.97</v>
      </c>
      <c r="CW135" s="3">
        <v>86.32</v>
      </c>
      <c r="CX135" s="3">
        <v>70.989999999999995</v>
      </c>
      <c r="CY135" s="3">
        <v>85</v>
      </c>
      <c r="CZ135" s="3">
        <v>103</v>
      </c>
      <c r="DA135" s="3">
        <v>67</v>
      </c>
      <c r="DB135" s="3">
        <v>23</v>
      </c>
      <c r="DC135" s="3">
        <v>9</v>
      </c>
      <c r="DD135" s="9">
        <v>50.22</v>
      </c>
      <c r="DE135" s="3">
        <v>12</v>
      </c>
      <c r="DF135" s="3">
        <v>14</v>
      </c>
      <c r="DG135" s="3">
        <v>23</v>
      </c>
      <c r="DH135" s="3">
        <v>19</v>
      </c>
      <c r="DI135" s="3">
        <v>33.64</v>
      </c>
      <c r="DJ135" s="3">
        <v>56.64</v>
      </c>
      <c r="DK135" s="3">
        <v>60.31</v>
      </c>
      <c r="DL135" s="3">
        <v>64.98</v>
      </c>
      <c r="DM135" s="3">
        <v>70.31</v>
      </c>
      <c r="DN135" s="3">
        <v>69</v>
      </c>
      <c r="DO135" s="3">
        <v>48.66</v>
      </c>
      <c r="DP135" s="20">
        <v>30.66</v>
      </c>
      <c r="DQ135" s="9">
        <v>24.3</v>
      </c>
      <c r="DR135" s="3">
        <v>5</v>
      </c>
      <c r="DS135" s="3">
        <v>6</v>
      </c>
      <c r="DT135" s="3">
        <v>14</v>
      </c>
      <c r="DU135" s="3">
        <v>19</v>
      </c>
      <c r="DV135" s="3">
        <v>11</v>
      </c>
      <c r="DW135" s="3">
        <v>24</v>
      </c>
      <c r="DX135" s="3">
        <v>29</v>
      </c>
      <c r="DY135" s="3">
        <v>25</v>
      </c>
      <c r="DZ135" s="3">
        <v>33</v>
      </c>
      <c r="EA135" s="3">
        <v>32</v>
      </c>
      <c r="EB135" s="3">
        <v>32</v>
      </c>
      <c r="EC135" s="3">
        <v>13</v>
      </c>
      <c r="ED135" s="9">
        <f t="shared" si="30"/>
        <v>32.4</v>
      </c>
      <c r="EE135" s="3">
        <v>54</v>
      </c>
      <c r="EF135" s="3">
        <v>45</v>
      </c>
      <c r="EG135" s="3">
        <v>57</v>
      </c>
      <c r="EH135" s="3">
        <v>42</v>
      </c>
      <c r="EI135" s="3">
        <v>26</v>
      </c>
      <c r="EJ135" s="3">
        <v>35</v>
      </c>
      <c r="EK135" s="3">
        <v>23</v>
      </c>
      <c r="EL135" s="3">
        <v>35</v>
      </c>
      <c r="EM135" s="3">
        <v>4</v>
      </c>
      <c r="EN135" s="3">
        <v>3</v>
      </c>
      <c r="EO135" s="3">
        <v>0</v>
      </c>
      <c r="EP135" s="3">
        <v>0</v>
      </c>
      <c r="EQ135" s="9">
        <f t="shared" si="33"/>
        <v>85.6</v>
      </c>
      <c r="ER135" s="3">
        <v>40</v>
      </c>
      <c r="ES135" s="3">
        <v>44</v>
      </c>
      <c r="ET135" s="3">
        <v>76</v>
      </c>
      <c r="EU135" s="3">
        <v>89</v>
      </c>
      <c r="EV135" s="3">
        <v>87</v>
      </c>
      <c r="EW135" s="3">
        <v>73</v>
      </c>
      <c r="EX135" s="3">
        <v>89</v>
      </c>
      <c r="EY135" s="3">
        <v>74</v>
      </c>
      <c r="EZ135" s="3">
        <v>72</v>
      </c>
      <c r="FA135" s="3">
        <v>77</v>
      </c>
      <c r="FB135" s="3">
        <v>80</v>
      </c>
      <c r="FC135" s="3">
        <v>55</v>
      </c>
      <c r="FD135" s="69">
        <f t="shared" si="29"/>
        <v>34.700000000000003</v>
      </c>
      <c r="FE135" s="3">
        <v>12</v>
      </c>
      <c r="FF135" s="3">
        <v>14</v>
      </c>
      <c r="FG135" s="3">
        <v>19</v>
      </c>
      <c r="FH135" s="3">
        <v>28</v>
      </c>
      <c r="FI135" s="3">
        <v>19</v>
      </c>
      <c r="FJ135" s="3">
        <v>23</v>
      </c>
      <c r="FK135" s="3">
        <v>29</v>
      </c>
      <c r="FL135" s="3">
        <v>39</v>
      </c>
      <c r="FM135" s="3">
        <v>41</v>
      </c>
      <c r="FN135" s="3">
        <v>49</v>
      </c>
      <c r="FO135" s="3">
        <v>37</v>
      </c>
      <c r="FP135" s="3">
        <v>37</v>
      </c>
      <c r="FQ135" s="102"/>
      <c r="FR135" s="102"/>
      <c r="GA135" s="34"/>
    </row>
    <row r="136" spans="1:183" x14ac:dyDescent="0.25">
      <c r="A136" s="6" t="s">
        <v>351</v>
      </c>
      <c r="B136" s="25" t="s">
        <v>350</v>
      </c>
      <c r="C136" s="1" t="s">
        <v>349</v>
      </c>
      <c r="D136" s="141">
        <f t="shared" si="31"/>
        <v>138.03250000000003</v>
      </c>
      <c r="E136" s="141">
        <v>0</v>
      </c>
      <c r="F136" s="141">
        <v>249.23000000000002</v>
      </c>
      <c r="G136" s="141">
        <v>302.90000000000003</v>
      </c>
      <c r="H136" s="141">
        <v>0</v>
      </c>
      <c r="P136" s="77"/>
      <c r="Q136" s="159">
        <f t="shared" si="32"/>
        <v>241.00799999999998</v>
      </c>
      <c r="R136" s="141">
        <v>132.92000000000002</v>
      </c>
      <c r="S136" s="141">
        <v>146.19</v>
      </c>
      <c r="T136" s="141">
        <v>234.21</v>
      </c>
      <c r="U136" s="141">
        <v>219.5</v>
      </c>
      <c r="V136" s="141">
        <v>149.76</v>
      </c>
      <c r="W136" s="141">
        <v>233.10000000000002</v>
      </c>
      <c r="X136" s="141">
        <v>200.17000000000002</v>
      </c>
      <c r="Y136" s="141">
        <v>191.29999999999998</v>
      </c>
      <c r="Z136" s="141">
        <v>227.39999999999998</v>
      </c>
      <c r="AA136" s="141">
        <v>244.08999999999997</v>
      </c>
      <c r="AB136" s="141">
        <v>253.69000000000003</v>
      </c>
      <c r="AC136" s="154">
        <v>177.75000000000003</v>
      </c>
      <c r="AD136" s="159">
        <v>221.51800000000003</v>
      </c>
      <c r="AE136" s="141">
        <v>132.66</v>
      </c>
      <c r="AF136" s="141">
        <v>81.09</v>
      </c>
      <c r="AG136" s="141">
        <v>167.75</v>
      </c>
      <c r="AH136" s="141">
        <v>198.14</v>
      </c>
      <c r="AI136" s="141">
        <v>176.92</v>
      </c>
      <c r="AJ136" s="141">
        <v>188.79000000000005</v>
      </c>
      <c r="AK136" s="141">
        <v>193.53</v>
      </c>
      <c r="AL136" s="141">
        <v>256.19</v>
      </c>
      <c r="AM136" s="141">
        <v>276.24</v>
      </c>
      <c r="AN136" s="141">
        <v>247.97</v>
      </c>
      <c r="AO136" s="141">
        <v>198.39999999999998</v>
      </c>
      <c r="AP136" s="141">
        <v>97.5</v>
      </c>
      <c r="AQ136" s="9">
        <f t="shared" si="34"/>
        <v>103.36199999999999</v>
      </c>
      <c r="AR136" s="3">
        <v>44</v>
      </c>
      <c r="AS136" s="3">
        <v>53</v>
      </c>
      <c r="AT136" s="3">
        <v>55</v>
      </c>
      <c r="AU136" s="3">
        <v>54</v>
      </c>
      <c r="AV136" s="3">
        <v>44.46</v>
      </c>
      <c r="AW136" s="3">
        <v>73.8</v>
      </c>
      <c r="AX136" s="3">
        <v>108.8</v>
      </c>
      <c r="AY136" s="3">
        <v>95</v>
      </c>
      <c r="AZ136" s="3">
        <v>121.61999999999999</v>
      </c>
      <c r="BA136" s="3">
        <v>148.31</v>
      </c>
      <c r="BB136" s="3">
        <v>127.41</v>
      </c>
      <c r="BC136" s="3">
        <v>108.22</v>
      </c>
      <c r="BD136" s="117">
        <v>64.2</v>
      </c>
      <c r="BE136" s="3">
        <v>67</v>
      </c>
      <c r="BF136" s="3">
        <v>52</v>
      </c>
      <c r="BG136" s="3">
        <v>59</v>
      </c>
      <c r="BH136" s="3">
        <v>65</v>
      </c>
      <c r="BI136" s="3">
        <v>50</v>
      </c>
      <c r="BJ136" s="3">
        <v>58</v>
      </c>
      <c r="BK136" s="3">
        <v>58</v>
      </c>
      <c r="BL136" s="3">
        <v>52</v>
      </c>
      <c r="BM136" s="3">
        <v>49</v>
      </c>
      <c r="BN136" s="3">
        <v>45</v>
      </c>
      <c r="BO136" s="3">
        <v>50</v>
      </c>
      <c r="BP136" s="20">
        <v>37</v>
      </c>
      <c r="BQ136" s="65">
        <v>34.36</v>
      </c>
      <c r="BR136" s="3">
        <v>10</v>
      </c>
      <c r="BS136" s="3">
        <v>12</v>
      </c>
      <c r="BT136" s="3">
        <v>10</v>
      </c>
      <c r="BU136" s="3">
        <v>9</v>
      </c>
      <c r="BV136" s="3">
        <v>11</v>
      </c>
      <c r="BW136" s="3">
        <v>27</v>
      </c>
      <c r="BX136" s="3">
        <v>33</v>
      </c>
      <c r="BY136" s="3">
        <v>50.8</v>
      </c>
      <c r="BZ136" s="3">
        <v>43.8</v>
      </c>
      <c r="CA136" s="3">
        <v>40</v>
      </c>
      <c r="CB136" s="3">
        <v>47</v>
      </c>
      <c r="CC136" s="3">
        <v>50</v>
      </c>
      <c r="CD136" s="16">
        <v>7.8489999999999993</v>
      </c>
      <c r="CE136" s="3"/>
      <c r="CF136" s="3"/>
      <c r="CI136" s="3">
        <v>7</v>
      </c>
      <c r="CJ136" s="3">
        <v>10</v>
      </c>
      <c r="CK136" s="3">
        <v>16</v>
      </c>
      <c r="CL136" s="66">
        <v>10.75</v>
      </c>
      <c r="CM136" s="66">
        <v>10.95</v>
      </c>
      <c r="CN136" s="66">
        <v>10.459999999999999</v>
      </c>
      <c r="CO136" s="3">
        <v>7.33</v>
      </c>
      <c r="CP136" s="3">
        <v>6</v>
      </c>
      <c r="CQ136" s="112"/>
      <c r="DD136" s="112"/>
      <c r="DQ136" s="112"/>
      <c r="ED136" s="112"/>
      <c r="EQ136" s="112"/>
      <c r="FC136" s="1"/>
      <c r="FD136" s="112"/>
      <c r="FF136" s="1"/>
      <c r="FQ136" s="102"/>
      <c r="FR136" s="102"/>
      <c r="GA136" s="34"/>
    </row>
    <row r="137" spans="1:183" x14ac:dyDescent="0.25">
      <c r="A137" s="6" t="s">
        <v>310</v>
      </c>
      <c r="B137" s="25" t="s">
        <v>315</v>
      </c>
      <c r="C137" s="1" t="s">
        <v>316</v>
      </c>
      <c r="D137" s="141">
        <f t="shared" si="31"/>
        <v>72.704999999999984</v>
      </c>
      <c r="E137" s="141">
        <v>64.88</v>
      </c>
      <c r="F137" s="141">
        <v>74.459999999999994</v>
      </c>
      <c r="G137" s="141">
        <v>75.599999999999994</v>
      </c>
      <c r="H137" s="141">
        <v>75.88</v>
      </c>
      <c r="P137" s="77"/>
      <c r="Q137" s="159">
        <f t="shared" si="32"/>
        <v>85.85</v>
      </c>
      <c r="R137" s="141">
        <v>45.16</v>
      </c>
      <c r="S137" s="141">
        <v>63.6</v>
      </c>
      <c r="T137" s="141">
        <v>76.88</v>
      </c>
      <c r="U137" s="141">
        <v>76.459999999999994</v>
      </c>
      <c r="V137" s="141">
        <v>76.459999999999994</v>
      </c>
      <c r="W137" s="141">
        <v>78.180000000000007</v>
      </c>
      <c r="X137" s="141">
        <v>79.459999999999994</v>
      </c>
      <c r="Y137" s="141">
        <v>77.319999999999993</v>
      </c>
      <c r="Z137" s="141">
        <v>90.04</v>
      </c>
      <c r="AA137" s="141">
        <v>84.18</v>
      </c>
      <c r="AB137" s="141">
        <v>61.74</v>
      </c>
      <c r="AC137" s="154">
        <v>49.02</v>
      </c>
      <c r="AD137" s="159">
        <v>63.362000000000009</v>
      </c>
      <c r="AE137" s="141">
        <v>53.72</v>
      </c>
      <c r="AF137" s="141">
        <v>56.72</v>
      </c>
      <c r="AG137" s="141">
        <v>53.3</v>
      </c>
      <c r="AH137" s="141">
        <v>54.44</v>
      </c>
      <c r="AI137" s="141">
        <v>44</v>
      </c>
      <c r="AJ137" s="141">
        <v>55.16</v>
      </c>
      <c r="AK137" s="141">
        <v>55.3</v>
      </c>
      <c r="AL137" s="141">
        <v>64.16</v>
      </c>
      <c r="AM137" s="141">
        <v>64.319999999999993</v>
      </c>
      <c r="AN137" s="141">
        <v>64.760000000000005</v>
      </c>
      <c r="AO137" s="141">
        <v>38.299999999999997</v>
      </c>
      <c r="AP137" s="141">
        <v>29.44</v>
      </c>
      <c r="AQ137" s="9">
        <f t="shared" si="34"/>
        <v>62.86999999999999</v>
      </c>
      <c r="AR137" s="3">
        <v>43.24</v>
      </c>
      <c r="AS137" s="3">
        <v>50.24</v>
      </c>
      <c r="AT137" s="3">
        <v>59.96</v>
      </c>
      <c r="AU137" s="3">
        <v>52.3</v>
      </c>
      <c r="AV137" s="3">
        <v>55.44</v>
      </c>
      <c r="AW137" s="3">
        <v>78.3</v>
      </c>
      <c r="AX137" s="3">
        <v>70.16</v>
      </c>
      <c r="AY137" s="3">
        <v>67.88</v>
      </c>
      <c r="AZ137" s="3">
        <v>74.16</v>
      </c>
      <c r="BA137" s="3">
        <v>77.02</v>
      </c>
      <c r="BB137" s="3">
        <v>0</v>
      </c>
      <c r="BC137" s="3">
        <v>0</v>
      </c>
      <c r="BD137" s="117">
        <v>58.344000000000008</v>
      </c>
      <c r="BE137" s="3">
        <v>42.92</v>
      </c>
      <c r="BF137" s="3">
        <v>51.72</v>
      </c>
      <c r="BG137" s="3">
        <v>58.08</v>
      </c>
      <c r="BH137" s="3">
        <v>57.28</v>
      </c>
      <c r="BI137" s="3">
        <v>45.46</v>
      </c>
      <c r="BJ137" s="3">
        <v>55.64</v>
      </c>
      <c r="BK137" s="3">
        <v>59.46</v>
      </c>
      <c r="BL137" s="3">
        <v>63.9</v>
      </c>
      <c r="BM137" s="3">
        <v>63.26</v>
      </c>
      <c r="BN137" s="3">
        <v>50.28</v>
      </c>
      <c r="BO137" s="3">
        <v>0</v>
      </c>
      <c r="BP137" s="20">
        <v>35.44</v>
      </c>
      <c r="BQ137" s="65">
        <v>37.274000000000008</v>
      </c>
      <c r="BR137" s="3">
        <v>26.64</v>
      </c>
      <c r="BS137" s="3">
        <v>26.64</v>
      </c>
      <c r="BT137" s="3">
        <v>31.74</v>
      </c>
      <c r="BU137" s="3">
        <v>31.1</v>
      </c>
      <c r="BV137" s="3">
        <v>31.28</v>
      </c>
      <c r="BW137" s="3">
        <v>32.28</v>
      </c>
      <c r="BX137" s="3">
        <v>39.74</v>
      </c>
      <c r="BY137" s="3">
        <v>41.74</v>
      </c>
      <c r="BZ137" s="3">
        <v>37.74</v>
      </c>
      <c r="CA137" s="3">
        <v>36.74</v>
      </c>
      <c r="CB137" s="3">
        <v>25.28</v>
      </c>
      <c r="CC137" s="3">
        <v>11.82</v>
      </c>
      <c r="CD137" s="16">
        <v>34.003999999999998</v>
      </c>
      <c r="CE137" s="3">
        <v>10.64</v>
      </c>
      <c r="CF137" s="3">
        <v>21.46</v>
      </c>
      <c r="CG137" s="3">
        <v>36.92</v>
      </c>
      <c r="CH137" s="3">
        <v>29.44</v>
      </c>
      <c r="CI137" s="3">
        <v>32.42</v>
      </c>
      <c r="CJ137" s="3">
        <v>35.6</v>
      </c>
      <c r="CK137" s="3">
        <v>35.42</v>
      </c>
      <c r="CL137" s="66">
        <v>38.28</v>
      </c>
      <c r="CM137" s="66">
        <v>38.99</v>
      </c>
      <c r="CN137" s="66">
        <v>37.270000000000003</v>
      </c>
      <c r="CO137" s="3">
        <v>13.8</v>
      </c>
      <c r="CP137" s="3">
        <v>9.8000000000000007</v>
      </c>
      <c r="CQ137" s="9">
        <v>6.0920000000000005</v>
      </c>
      <c r="CR137" s="3"/>
      <c r="CS137" s="3"/>
      <c r="CT137" s="3"/>
      <c r="CV137" s="3">
        <v>0</v>
      </c>
      <c r="CW137" s="3">
        <v>0</v>
      </c>
      <c r="CX137" s="3">
        <v>4</v>
      </c>
      <c r="CY137" s="3">
        <v>16</v>
      </c>
      <c r="CZ137" s="3">
        <v>16.64</v>
      </c>
      <c r="DA137" s="3">
        <v>18.46</v>
      </c>
      <c r="DB137" s="3">
        <v>4.82</v>
      </c>
      <c r="DC137" s="3">
        <v>1</v>
      </c>
      <c r="DD137" s="89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20"/>
      <c r="DQ137" s="89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89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89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89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102"/>
      <c r="FR137" s="102"/>
      <c r="GA137" s="34"/>
    </row>
    <row r="138" spans="1:183" x14ac:dyDescent="0.25">
      <c r="A138" s="6" t="s">
        <v>176</v>
      </c>
      <c r="B138" s="25" t="s">
        <v>208</v>
      </c>
      <c r="C138" s="1" t="s">
        <v>200</v>
      </c>
      <c r="D138" s="141">
        <f t="shared" si="31"/>
        <v>15.75</v>
      </c>
      <c r="E138" s="141">
        <v>14</v>
      </c>
      <c r="F138" s="141">
        <v>17</v>
      </c>
      <c r="G138" s="141">
        <v>15</v>
      </c>
      <c r="H138" s="141">
        <v>17</v>
      </c>
      <c r="P138" s="77"/>
      <c r="Q138" s="159">
        <f t="shared" si="32"/>
        <v>7.2</v>
      </c>
      <c r="R138" s="141">
        <v>9</v>
      </c>
      <c r="S138" s="141">
        <v>10</v>
      </c>
      <c r="T138" s="141">
        <v>6</v>
      </c>
      <c r="U138" s="141">
        <v>5</v>
      </c>
      <c r="V138" s="141">
        <v>5</v>
      </c>
      <c r="W138" s="141">
        <v>6</v>
      </c>
      <c r="X138" s="141">
        <v>4</v>
      </c>
      <c r="Y138" s="141">
        <v>7</v>
      </c>
      <c r="Z138" s="141">
        <v>11</v>
      </c>
      <c r="AA138" s="141">
        <v>9</v>
      </c>
      <c r="AB138" s="141">
        <v>0</v>
      </c>
      <c r="AC138" s="154">
        <v>0</v>
      </c>
      <c r="AD138" s="159">
        <v>12.8</v>
      </c>
      <c r="AE138" s="141">
        <v>13</v>
      </c>
      <c r="AF138" s="141">
        <v>15</v>
      </c>
      <c r="AG138" s="141">
        <v>15</v>
      </c>
      <c r="AH138" s="141">
        <v>10</v>
      </c>
      <c r="AI138" s="141">
        <v>12</v>
      </c>
      <c r="AJ138" s="141">
        <v>9</v>
      </c>
      <c r="AK138" s="141">
        <v>11</v>
      </c>
      <c r="AL138" s="141">
        <v>14</v>
      </c>
      <c r="AM138" s="141">
        <v>15</v>
      </c>
      <c r="AN138" s="141">
        <v>14</v>
      </c>
      <c r="AO138" s="141">
        <v>0</v>
      </c>
      <c r="AP138" s="141">
        <v>0</v>
      </c>
      <c r="AQ138" s="9">
        <f t="shared" si="34"/>
        <v>7.9</v>
      </c>
      <c r="AR138" s="3">
        <v>4</v>
      </c>
      <c r="AS138" s="3">
        <v>5</v>
      </c>
      <c r="AT138" s="3">
        <v>4</v>
      </c>
      <c r="AU138" s="3">
        <v>7</v>
      </c>
      <c r="AV138" s="3">
        <v>10</v>
      </c>
      <c r="AW138" s="3">
        <v>11</v>
      </c>
      <c r="AX138" s="3">
        <v>8</v>
      </c>
      <c r="AY138" s="3">
        <v>12</v>
      </c>
      <c r="AZ138" s="3">
        <v>9</v>
      </c>
      <c r="BA138" s="3">
        <v>9</v>
      </c>
      <c r="BB138" s="3">
        <v>0</v>
      </c>
      <c r="BC138" s="3">
        <v>0</v>
      </c>
      <c r="BD138" s="117">
        <v>3.7</v>
      </c>
      <c r="BE138" s="3">
        <v>2</v>
      </c>
      <c r="BF138" s="3">
        <v>3</v>
      </c>
      <c r="BG138" s="3">
        <v>4</v>
      </c>
      <c r="BH138" s="3">
        <v>3</v>
      </c>
      <c r="BI138" s="3">
        <v>5</v>
      </c>
      <c r="BJ138" s="3">
        <v>4</v>
      </c>
      <c r="BK138" s="3">
        <v>3</v>
      </c>
      <c r="BL138" s="3">
        <v>4</v>
      </c>
      <c r="BM138" s="3">
        <v>3</v>
      </c>
      <c r="BN138" s="3">
        <v>5</v>
      </c>
      <c r="BO138" s="3">
        <v>1</v>
      </c>
      <c r="BP138" s="20">
        <v>0</v>
      </c>
      <c r="BQ138" s="65">
        <v>2</v>
      </c>
      <c r="BR138" s="3">
        <v>2</v>
      </c>
      <c r="BS138" s="3">
        <v>3</v>
      </c>
      <c r="BT138" s="3">
        <v>3</v>
      </c>
      <c r="BU138" s="3">
        <v>3</v>
      </c>
      <c r="BV138" s="3">
        <v>3</v>
      </c>
      <c r="BW138" s="3">
        <v>3</v>
      </c>
      <c r="BX138" s="3">
        <v>1</v>
      </c>
      <c r="BY138" s="3">
        <v>1</v>
      </c>
      <c r="BZ138" s="3">
        <v>1</v>
      </c>
      <c r="CA138" s="3">
        <v>0</v>
      </c>
      <c r="CB138" s="3">
        <v>0</v>
      </c>
      <c r="CC138" s="3">
        <v>0</v>
      </c>
      <c r="CD138" s="16">
        <v>3.8</v>
      </c>
      <c r="CE138" s="3">
        <v>5</v>
      </c>
      <c r="CF138" s="3">
        <v>8</v>
      </c>
      <c r="CG138" s="3">
        <v>7</v>
      </c>
      <c r="CH138" s="3">
        <v>4</v>
      </c>
      <c r="CI138" s="3">
        <v>2</v>
      </c>
      <c r="CJ138" s="3">
        <v>2</v>
      </c>
      <c r="CK138" s="3">
        <v>4</v>
      </c>
      <c r="CL138" s="66">
        <v>1.33</v>
      </c>
      <c r="CM138" s="66">
        <v>2</v>
      </c>
      <c r="CN138" s="66">
        <v>2.67</v>
      </c>
      <c r="CO138" s="3">
        <v>0</v>
      </c>
      <c r="CP138" s="3">
        <v>0</v>
      </c>
      <c r="CQ138" s="9">
        <v>2.8</v>
      </c>
      <c r="CR138" s="3">
        <v>3</v>
      </c>
      <c r="CS138" s="3">
        <v>1</v>
      </c>
      <c r="CT138" s="3">
        <v>2</v>
      </c>
      <c r="CU138" s="3">
        <v>5</v>
      </c>
      <c r="CV138" s="3">
        <v>3</v>
      </c>
      <c r="CW138" s="3">
        <v>2</v>
      </c>
      <c r="CX138" s="3">
        <v>3</v>
      </c>
      <c r="CY138" s="3">
        <v>2</v>
      </c>
      <c r="CZ138" s="3">
        <v>3</v>
      </c>
      <c r="DA138" s="3">
        <v>4</v>
      </c>
      <c r="DB138" s="3">
        <v>0</v>
      </c>
      <c r="DC138" s="3">
        <v>0</v>
      </c>
      <c r="DD138" s="9">
        <v>3.7</v>
      </c>
      <c r="DE138" s="3">
        <v>2</v>
      </c>
      <c r="DF138" s="3">
        <v>2</v>
      </c>
      <c r="DG138" s="3">
        <v>3</v>
      </c>
      <c r="DH138" s="3">
        <v>2</v>
      </c>
      <c r="DI138" s="3">
        <v>6</v>
      </c>
      <c r="DJ138" s="3">
        <v>5</v>
      </c>
      <c r="DK138" s="3">
        <v>3</v>
      </c>
      <c r="DL138" s="3">
        <v>5</v>
      </c>
      <c r="DM138" s="3">
        <v>5</v>
      </c>
      <c r="DN138" s="3">
        <v>4</v>
      </c>
      <c r="DO138" s="3">
        <v>0</v>
      </c>
      <c r="DP138" s="20">
        <v>0</v>
      </c>
      <c r="DQ138" s="9">
        <v>2.4</v>
      </c>
      <c r="DR138" s="3">
        <v>1</v>
      </c>
      <c r="DS138" s="3">
        <v>2</v>
      </c>
      <c r="DT138" s="3">
        <v>2</v>
      </c>
      <c r="DU138" s="3">
        <v>2</v>
      </c>
      <c r="DV138" s="3">
        <v>1</v>
      </c>
      <c r="DW138" s="3">
        <v>2</v>
      </c>
      <c r="DX138" s="3">
        <v>4</v>
      </c>
      <c r="DY138" s="3">
        <v>4</v>
      </c>
      <c r="DZ138" s="3">
        <v>4</v>
      </c>
      <c r="EA138" s="3">
        <v>2</v>
      </c>
      <c r="EB138" s="3">
        <v>0</v>
      </c>
      <c r="EC138" s="3">
        <v>0</v>
      </c>
      <c r="ED138" s="9">
        <f t="shared" si="30"/>
        <v>1.97</v>
      </c>
      <c r="EE138" s="3">
        <v>0.9</v>
      </c>
      <c r="EF138" s="3">
        <v>1.9</v>
      </c>
      <c r="EG138" s="3">
        <v>2.9</v>
      </c>
      <c r="EH138" s="3">
        <v>2</v>
      </c>
      <c r="EI138" s="3">
        <v>2</v>
      </c>
      <c r="EJ138" s="3">
        <v>2</v>
      </c>
      <c r="EK138" s="3">
        <v>2</v>
      </c>
      <c r="EL138" s="3">
        <v>2</v>
      </c>
      <c r="EM138" s="3">
        <v>2</v>
      </c>
      <c r="EN138" s="3">
        <v>2</v>
      </c>
      <c r="EO138" s="3">
        <v>0</v>
      </c>
      <c r="EP138" s="3">
        <v>0</v>
      </c>
      <c r="EQ138" s="89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89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102"/>
      <c r="FR138" s="102"/>
      <c r="GA138" s="34"/>
    </row>
    <row r="139" spans="1:183" x14ac:dyDescent="0.25">
      <c r="A139" s="6" t="s">
        <v>228</v>
      </c>
      <c r="B139" s="25" t="s">
        <v>246</v>
      </c>
      <c r="C139" s="1" t="s">
        <v>245</v>
      </c>
      <c r="D139" s="141">
        <f t="shared" si="31"/>
        <v>4</v>
      </c>
      <c r="E139" s="141">
        <v>3</v>
      </c>
      <c r="F139" s="141">
        <v>4</v>
      </c>
      <c r="G139" s="141">
        <v>4</v>
      </c>
      <c r="H139" s="141">
        <v>5</v>
      </c>
      <c r="P139" s="77"/>
      <c r="Q139" s="159">
        <f t="shared" si="32"/>
        <v>5.7</v>
      </c>
      <c r="R139" s="141">
        <v>2</v>
      </c>
      <c r="S139" s="141">
        <v>5</v>
      </c>
      <c r="T139" s="141">
        <v>5</v>
      </c>
      <c r="U139" s="141">
        <v>6</v>
      </c>
      <c r="V139" s="141">
        <v>5</v>
      </c>
      <c r="W139" s="141">
        <v>6</v>
      </c>
      <c r="X139" s="141">
        <v>6</v>
      </c>
      <c r="Y139" s="141">
        <v>6</v>
      </c>
      <c r="Z139" s="141">
        <v>5</v>
      </c>
      <c r="AA139" s="141">
        <v>6</v>
      </c>
      <c r="AB139" s="141">
        <v>2</v>
      </c>
      <c r="AC139" s="154">
        <v>3</v>
      </c>
      <c r="AD139" s="159">
        <v>3.5</v>
      </c>
      <c r="AE139" s="141">
        <v>1</v>
      </c>
      <c r="AF139" s="141">
        <v>3</v>
      </c>
      <c r="AG139" s="141">
        <v>3</v>
      </c>
      <c r="AH139" s="141">
        <v>3</v>
      </c>
      <c r="AI139" s="141">
        <v>3</v>
      </c>
      <c r="AJ139" s="141">
        <v>3</v>
      </c>
      <c r="AK139" s="141">
        <v>4</v>
      </c>
      <c r="AL139" s="141">
        <v>3</v>
      </c>
      <c r="AM139" s="141">
        <v>4</v>
      </c>
      <c r="AN139" s="141">
        <v>3</v>
      </c>
      <c r="AO139" s="141">
        <v>3</v>
      </c>
      <c r="AP139" s="141">
        <v>2</v>
      </c>
      <c r="AQ139" s="9">
        <f t="shared" si="34"/>
        <v>4.8</v>
      </c>
      <c r="AR139" s="3">
        <v>2</v>
      </c>
      <c r="AS139" s="3">
        <v>7</v>
      </c>
      <c r="AT139" s="3">
        <v>5</v>
      </c>
      <c r="AU139" s="3">
        <v>2</v>
      </c>
      <c r="AV139" s="3">
        <v>6</v>
      </c>
      <c r="AW139" s="3">
        <v>6</v>
      </c>
      <c r="AX139" s="3">
        <v>5</v>
      </c>
      <c r="AY139" s="3">
        <v>4</v>
      </c>
      <c r="AZ139" s="3">
        <v>5</v>
      </c>
      <c r="BA139" s="3">
        <v>5</v>
      </c>
      <c r="BB139" s="3">
        <v>1</v>
      </c>
      <c r="BC139" s="3">
        <v>0</v>
      </c>
      <c r="BD139" s="117">
        <v>6.1</v>
      </c>
      <c r="BE139" s="3">
        <v>4</v>
      </c>
      <c r="BF139" s="3">
        <v>7</v>
      </c>
      <c r="BG139" s="3">
        <v>6</v>
      </c>
      <c r="BH139" s="3">
        <v>3</v>
      </c>
      <c r="BI139" s="3">
        <v>4</v>
      </c>
      <c r="BJ139" s="3">
        <v>6</v>
      </c>
      <c r="BK139" s="3">
        <v>9</v>
      </c>
      <c r="BL139" s="3">
        <v>6</v>
      </c>
      <c r="BM139" s="3">
        <v>4</v>
      </c>
      <c r="BN139" s="3">
        <v>7</v>
      </c>
      <c r="BO139" s="3">
        <v>5</v>
      </c>
      <c r="BP139" s="20">
        <v>0</v>
      </c>
      <c r="BQ139" s="65">
        <v>5.2460000000000004</v>
      </c>
      <c r="BR139" s="3">
        <v>1</v>
      </c>
      <c r="BS139" s="3">
        <v>1</v>
      </c>
      <c r="BT139" s="3">
        <v>1</v>
      </c>
      <c r="BU139" s="3">
        <v>0</v>
      </c>
      <c r="BV139" s="3">
        <v>2</v>
      </c>
      <c r="BW139" s="3">
        <v>7</v>
      </c>
      <c r="BX139" s="3">
        <v>6.46</v>
      </c>
      <c r="BY139" s="3">
        <v>12</v>
      </c>
      <c r="BZ139" s="3">
        <v>6</v>
      </c>
      <c r="CA139" s="3">
        <v>7</v>
      </c>
      <c r="CB139" s="3">
        <v>5</v>
      </c>
      <c r="CC139" s="3">
        <v>4</v>
      </c>
      <c r="CD139" s="16">
        <v>4.5</v>
      </c>
      <c r="CE139" s="3">
        <v>5</v>
      </c>
      <c r="CF139" s="3">
        <v>5</v>
      </c>
      <c r="CG139" s="3">
        <v>7</v>
      </c>
      <c r="CH139" s="3">
        <v>6</v>
      </c>
      <c r="CI139" s="3">
        <v>5</v>
      </c>
      <c r="CJ139" s="3">
        <v>3</v>
      </c>
      <c r="CK139" s="3">
        <v>4</v>
      </c>
      <c r="CL139" s="66">
        <v>3</v>
      </c>
      <c r="CM139" s="66">
        <v>3.75</v>
      </c>
      <c r="CN139" s="66">
        <v>3.25</v>
      </c>
      <c r="CO139" s="3">
        <v>0</v>
      </c>
      <c r="CP139" s="3">
        <v>0</v>
      </c>
      <c r="CQ139" s="9">
        <v>12.6</v>
      </c>
      <c r="CR139" s="3">
        <v>11</v>
      </c>
      <c r="CS139" s="3">
        <v>14</v>
      </c>
      <c r="CT139" s="3">
        <v>11</v>
      </c>
      <c r="CU139" s="3">
        <v>8</v>
      </c>
      <c r="CV139" s="3">
        <v>5</v>
      </c>
      <c r="CW139" s="3">
        <v>10</v>
      </c>
      <c r="CX139" s="3">
        <v>12</v>
      </c>
      <c r="CY139" s="3">
        <v>12</v>
      </c>
      <c r="CZ139" s="3">
        <v>15</v>
      </c>
      <c r="DA139" s="3">
        <v>13</v>
      </c>
      <c r="DB139" s="3">
        <v>10</v>
      </c>
      <c r="DC139" s="3">
        <v>5</v>
      </c>
      <c r="DD139" s="9">
        <v>7.2</v>
      </c>
      <c r="DE139" s="3">
        <v>0</v>
      </c>
      <c r="DF139" s="3">
        <v>1</v>
      </c>
      <c r="DG139" s="3">
        <v>3</v>
      </c>
      <c r="DH139" s="3">
        <v>6</v>
      </c>
      <c r="DI139" s="3">
        <v>6</v>
      </c>
      <c r="DJ139" s="3">
        <v>8</v>
      </c>
      <c r="DK139" s="3">
        <v>7</v>
      </c>
      <c r="DL139" s="3">
        <v>12</v>
      </c>
      <c r="DM139" s="3">
        <v>9</v>
      </c>
      <c r="DN139" s="3">
        <v>12</v>
      </c>
      <c r="DO139" s="3">
        <v>4</v>
      </c>
      <c r="DP139" s="20">
        <v>4</v>
      </c>
      <c r="DQ139" s="9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89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89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89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102"/>
      <c r="FR139" s="102"/>
      <c r="GA139" s="34"/>
    </row>
    <row r="140" spans="1:183" x14ac:dyDescent="0.25">
      <c r="A140" s="6" t="s">
        <v>159</v>
      </c>
      <c r="B140" s="68" t="s">
        <v>35</v>
      </c>
      <c r="C140" s="1" t="s">
        <v>36</v>
      </c>
      <c r="D140" s="141">
        <f t="shared" si="31"/>
        <v>11.5</v>
      </c>
      <c r="E140" s="141">
        <v>10</v>
      </c>
      <c r="F140" s="141">
        <v>12</v>
      </c>
      <c r="G140" s="141">
        <v>12</v>
      </c>
      <c r="H140" s="141">
        <v>12</v>
      </c>
      <c r="P140" s="77"/>
      <c r="Q140" s="159">
        <f t="shared" si="32"/>
        <v>9.9</v>
      </c>
      <c r="R140" s="141">
        <v>5</v>
      </c>
      <c r="S140" s="141">
        <v>5</v>
      </c>
      <c r="T140" s="141">
        <v>5</v>
      </c>
      <c r="U140" s="141">
        <v>8</v>
      </c>
      <c r="V140" s="141">
        <v>7</v>
      </c>
      <c r="W140" s="141">
        <v>7</v>
      </c>
      <c r="X140" s="141">
        <v>6</v>
      </c>
      <c r="Y140" s="141">
        <v>10</v>
      </c>
      <c r="Z140" s="141">
        <v>11</v>
      </c>
      <c r="AA140" s="141">
        <v>9</v>
      </c>
      <c r="AB140" s="141">
        <v>16</v>
      </c>
      <c r="AC140" s="154">
        <v>10</v>
      </c>
      <c r="AD140" s="159">
        <v>6.7</v>
      </c>
      <c r="AE140" s="141">
        <v>1</v>
      </c>
      <c r="AF140" s="141">
        <v>3</v>
      </c>
      <c r="AG140" s="141">
        <v>5</v>
      </c>
      <c r="AH140" s="141">
        <v>5</v>
      </c>
      <c r="AI140" s="141">
        <v>5</v>
      </c>
      <c r="AJ140" s="141">
        <v>7</v>
      </c>
      <c r="AK140" s="141">
        <v>7</v>
      </c>
      <c r="AL140" s="141">
        <v>8</v>
      </c>
      <c r="AM140" s="141">
        <v>10</v>
      </c>
      <c r="AN140" s="141">
        <v>7</v>
      </c>
      <c r="AO140" s="141">
        <v>5</v>
      </c>
      <c r="AP140" s="141">
        <v>4</v>
      </c>
      <c r="AQ140" s="9">
        <f t="shared" si="34"/>
        <v>4</v>
      </c>
      <c r="AR140" s="3">
        <v>1</v>
      </c>
      <c r="AS140" s="3">
        <v>5</v>
      </c>
      <c r="AT140" s="3">
        <v>6</v>
      </c>
      <c r="AU140" s="3">
        <v>4</v>
      </c>
      <c r="AV140" s="3">
        <v>3</v>
      </c>
      <c r="AW140" s="3">
        <v>3</v>
      </c>
      <c r="AX140" s="3">
        <v>3</v>
      </c>
      <c r="AY140" s="3">
        <v>3</v>
      </c>
      <c r="AZ140" s="3">
        <v>4</v>
      </c>
      <c r="BA140" s="3">
        <v>5</v>
      </c>
      <c r="BB140" s="3">
        <v>3</v>
      </c>
      <c r="BC140" s="3">
        <v>0</v>
      </c>
      <c r="BD140" s="117">
        <v>8.4</v>
      </c>
      <c r="BE140" s="3">
        <v>11</v>
      </c>
      <c r="BF140" s="3">
        <v>7</v>
      </c>
      <c r="BG140" s="3">
        <v>10</v>
      </c>
      <c r="BH140" s="3">
        <v>10</v>
      </c>
      <c r="BI140" s="3">
        <v>5</v>
      </c>
      <c r="BJ140" s="3">
        <v>7</v>
      </c>
      <c r="BK140" s="3">
        <v>7</v>
      </c>
      <c r="BL140" s="3">
        <v>9</v>
      </c>
      <c r="BM140" s="3">
        <v>8</v>
      </c>
      <c r="BN140" s="3">
        <v>6</v>
      </c>
      <c r="BO140" s="3">
        <v>4</v>
      </c>
      <c r="BP140" s="20">
        <v>0</v>
      </c>
      <c r="BQ140" s="65">
        <v>11.5</v>
      </c>
      <c r="BR140" s="3">
        <v>9</v>
      </c>
      <c r="BS140" s="3">
        <v>8</v>
      </c>
      <c r="BT140" s="3">
        <v>11</v>
      </c>
      <c r="BU140" s="3">
        <v>9</v>
      </c>
      <c r="BV140" s="3">
        <v>9</v>
      </c>
      <c r="BW140" s="3">
        <v>6</v>
      </c>
      <c r="BX140" s="3">
        <v>12</v>
      </c>
      <c r="BY140" s="3">
        <v>16</v>
      </c>
      <c r="BZ140" s="3">
        <v>14</v>
      </c>
      <c r="CA140" s="3">
        <v>14</v>
      </c>
      <c r="CB140" s="3">
        <v>4</v>
      </c>
      <c r="CC140" s="3">
        <v>3</v>
      </c>
      <c r="CD140" s="16">
        <v>9.0340000000000007</v>
      </c>
      <c r="CE140" s="3">
        <v>7</v>
      </c>
      <c r="CF140" s="3">
        <v>11</v>
      </c>
      <c r="CG140" s="3">
        <v>10</v>
      </c>
      <c r="CH140" s="3">
        <v>5</v>
      </c>
      <c r="CI140" s="3">
        <v>8</v>
      </c>
      <c r="CJ140" s="3">
        <v>10</v>
      </c>
      <c r="CK140" s="3">
        <v>5</v>
      </c>
      <c r="CL140" s="66">
        <v>9.67</v>
      </c>
      <c r="CM140" s="66">
        <v>9.17</v>
      </c>
      <c r="CN140" s="66">
        <v>7.5</v>
      </c>
      <c r="CO140" s="3">
        <v>5</v>
      </c>
      <c r="CP140" s="3">
        <v>3</v>
      </c>
      <c r="CQ140" s="9">
        <v>8.52</v>
      </c>
      <c r="CR140" s="3">
        <v>2</v>
      </c>
      <c r="CS140" s="3">
        <v>4</v>
      </c>
      <c r="CT140" s="3">
        <v>4.5999999999999996</v>
      </c>
      <c r="CU140" s="3">
        <v>8</v>
      </c>
      <c r="CV140" s="3">
        <v>5</v>
      </c>
      <c r="CW140" s="3">
        <v>13</v>
      </c>
      <c r="CX140" s="3">
        <v>12</v>
      </c>
      <c r="CY140" s="3">
        <v>11.6</v>
      </c>
      <c r="CZ140" s="3">
        <v>11</v>
      </c>
      <c r="DA140" s="3">
        <v>9</v>
      </c>
      <c r="DB140" s="3">
        <v>5</v>
      </c>
      <c r="DC140" s="3">
        <v>0</v>
      </c>
      <c r="DD140" s="9">
        <v>6.0600000000000005</v>
      </c>
      <c r="DE140" s="3">
        <v>7</v>
      </c>
      <c r="DF140" s="3">
        <v>7</v>
      </c>
      <c r="DG140" s="3">
        <v>8.6</v>
      </c>
      <c r="DH140" s="3">
        <v>1.6</v>
      </c>
      <c r="DI140" s="3">
        <v>5</v>
      </c>
      <c r="DJ140" s="3">
        <v>1.6</v>
      </c>
      <c r="DK140" s="3">
        <v>5.6</v>
      </c>
      <c r="DL140" s="3">
        <v>6.6</v>
      </c>
      <c r="DM140" s="3">
        <v>5</v>
      </c>
      <c r="DN140" s="3">
        <v>5.6</v>
      </c>
      <c r="DO140" s="3">
        <v>2</v>
      </c>
      <c r="DP140" s="20">
        <v>5</v>
      </c>
      <c r="DQ140" s="9">
        <v>8.6</v>
      </c>
      <c r="DR140" s="3">
        <v>3</v>
      </c>
      <c r="DS140" s="3">
        <v>4</v>
      </c>
      <c r="DT140" s="3">
        <v>5</v>
      </c>
      <c r="DU140" s="3">
        <v>5</v>
      </c>
      <c r="DV140" s="3">
        <v>7</v>
      </c>
      <c r="DW140" s="3">
        <v>8</v>
      </c>
      <c r="DX140" s="3">
        <v>11</v>
      </c>
      <c r="DY140" s="3">
        <v>13</v>
      </c>
      <c r="DZ140" s="3">
        <v>11</v>
      </c>
      <c r="EA140" s="3">
        <v>11</v>
      </c>
      <c r="EB140" s="3">
        <v>5</v>
      </c>
      <c r="EC140" s="3">
        <v>3</v>
      </c>
      <c r="ED140" s="9">
        <f t="shared" ref="ED140:ED169" si="35">+IFERROR((SUM(EE140:EP140)/10),0)</f>
        <v>3.6</v>
      </c>
      <c r="EE140" s="3">
        <v>3</v>
      </c>
      <c r="EF140" s="3">
        <v>3</v>
      </c>
      <c r="EG140" s="3">
        <v>6</v>
      </c>
      <c r="EH140" s="3">
        <v>3</v>
      </c>
      <c r="EI140" s="3">
        <v>4</v>
      </c>
      <c r="EJ140" s="3">
        <v>3</v>
      </c>
      <c r="EK140" s="3">
        <v>0</v>
      </c>
      <c r="EL140" s="3">
        <v>3</v>
      </c>
      <c r="EM140" s="3">
        <v>3</v>
      </c>
      <c r="EN140" s="3">
        <v>3</v>
      </c>
      <c r="EO140" s="3">
        <v>3</v>
      </c>
      <c r="EP140" s="3">
        <v>2</v>
      </c>
      <c r="EQ140" s="9">
        <f t="shared" ref="EQ140:EQ169" si="36">+IFERROR((SUM(ER140:FC140)/10),0)</f>
        <v>5.7</v>
      </c>
      <c r="ER140" s="3">
        <v>6</v>
      </c>
      <c r="ES140" s="3">
        <v>5</v>
      </c>
      <c r="ET140" s="3">
        <v>7</v>
      </c>
      <c r="EU140" s="3">
        <v>5</v>
      </c>
      <c r="EV140" s="3">
        <v>6</v>
      </c>
      <c r="EW140" s="3">
        <v>4</v>
      </c>
      <c r="EX140" s="3">
        <v>5</v>
      </c>
      <c r="EY140" s="3">
        <v>5</v>
      </c>
      <c r="EZ140" s="3">
        <v>6</v>
      </c>
      <c r="FA140" s="3">
        <v>4</v>
      </c>
      <c r="FB140" s="3">
        <v>2</v>
      </c>
      <c r="FC140" s="3">
        <v>2</v>
      </c>
      <c r="FD140" s="69">
        <f t="shared" si="29"/>
        <v>5.7</v>
      </c>
      <c r="FE140" s="3">
        <v>1</v>
      </c>
      <c r="FF140" s="3">
        <v>3</v>
      </c>
      <c r="FG140" s="3">
        <v>5</v>
      </c>
      <c r="FH140" s="3">
        <v>6</v>
      </c>
      <c r="FI140" s="3">
        <v>5</v>
      </c>
      <c r="FJ140" s="3">
        <v>2</v>
      </c>
      <c r="FK140" s="3">
        <v>5</v>
      </c>
      <c r="FL140" s="3">
        <v>6</v>
      </c>
      <c r="FM140" s="3">
        <v>7</v>
      </c>
      <c r="FN140" s="3">
        <v>7</v>
      </c>
      <c r="FO140" s="3">
        <v>7</v>
      </c>
      <c r="FP140" s="3">
        <v>3</v>
      </c>
      <c r="FQ140" s="16">
        <v>0.8</v>
      </c>
      <c r="FR140" s="102"/>
      <c r="GA140" s="34"/>
    </row>
    <row r="141" spans="1:183" x14ac:dyDescent="0.25">
      <c r="A141" s="6"/>
      <c r="B141" s="25" t="s">
        <v>401</v>
      </c>
      <c r="C141" s="1" t="s">
        <v>400</v>
      </c>
      <c r="D141" s="141">
        <f t="shared" si="31"/>
        <v>0.75</v>
      </c>
      <c r="E141" s="141">
        <v>0</v>
      </c>
      <c r="F141" s="141">
        <v>1</v>
      </c>
      <c r="G141" s="141">
        <v>1</v>
      </c>
      <c r="H141" s="141">
        <v>1</v>
      </c>
      <c r="P141" s="77"/>
      <c r="Q141" s="159">
        <f t="shared" si="32"/>
        <v>0.4</v>
      </c>
      <c r="R141" s="141">
        <v>1</v>
      </c>
      <c r="S141" s="141">
        <v>1</v>
      </c>
      <c r="T141" s="141">
        <v>1</v>
      </c>
      <c r="U141" s="141">
        <v>1</v>
      </c>
      <c r="V141" s="141">
        <v>0</v>
      </c>
      <c r="W141" s="141">
        <v>0</v>
      </c>
      <c r="X141" s="141">
        <v>0</v>
      </c>
      <c r="Y141" s="141">
        <v>0</v>
      </c>
      <c r="Z141" s="141">
        <v>0</v>
      </c>
      <c r="AA141" s="141">
        <v>0</v>
      </c>
      <c r="AB141" s="141">
        <v>0</v>
      </c>
      <c r="AC141" s="154">
        <v>0</v>
      </c>
      <c r="AD141" s="159">
        <v>0.9</v>
      </c>
      <c r="AE141" s="141">
        <v>0</v>
      </c>
      <c r="AF141" s="141">
        <v>0</v>
      </c>
      <c r="AG141" s="141">
        <v>0</v>
      </c>
      <c r="AH141" s="141">
        <v>1</v>
      </c>
      <c r="AI141" s="141">
        <v>1</v>
      </c>
      <c r="AJ141" s="141">
        <v>1</v>
      </c>
      <c r="AK141" s="141">
        <v>1</v>
      </c>
      <c r="AL141" s="141">
        <v>1</v>
      </c>
      <c r="AM141" s="141">
        <v>1</v>
      </c>
      <c r="AN141" s="141">
        <v>1</v>
      </c>
      <c r="AO141" s="141">
        <v>1</v>
      </c>
      <c r="AP141" s="141">
        <v>1</v>
      </c>
      <c r="AQ141" s="89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90"/>
      <c r="BD141" s="129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7"/>
      <c r="BP141" s="90"/>
      <c r="BQ141" s="113"/>
      <c r="BR141" s="87"/>
      <c r="BS141" s="87"/>
      <c r="BT141" s="87"/>
      <c r="BU141" s="87"/>
      <c r="BV141" s="87"/>
      <c r="BW141" s="87"/>
      <c r="BX141" s="87"/>
      <c r="BY141" s="87"/>
      <c r="BZ141" s="87"/>
      <c r="CA141" s="87"/>
      <c r="CB141" s="87"/>
      <c r="CC141" s="87"/>
      <c r="CD141" s="91"/>
      <c r="CE141" s="87"/>
      <c r="CF141" s="87"/>
      <c r="CG141" s="87"/>
      <c r="CH141" s="87"/>
      <c r="CI141" s="87"/>
      <c r="CJ141" s="87"/>
      <c r="CK141" s="87"/>
      <c r="CL141" s="92"/>
      <c r="CM141" s="92"/>
      <c r="CN141" s="92"/>
      <c r="CO141" s="87"/>
      <c r="CP141" s="87"/>
      <c r="CQ141" s="89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9"/>
      <c r="DE141" s="87"/>
      <c r="DF141" s="87"/>
      <c r="DG141" s="87"/>
      <c r="DH141" s="87"/>
      <c r="DI141" s="87"/>
      <c r="DJ141" s="87"/>
      <c r="DK141" s="87"/>
      <c r="DL141" s="87"/>
      <c r="DM141" s="87"/>
      <c r="DN141" s="87"/>
      <c r="DO141" s="87"/>
      <c r="DP141" s="90"/>
      <c r="DQ141" s="89"/>
      <c r="DR141" s="87"/>
      <c r="DS141" s="87"/>
      <c r="DT141" s="87"/>
      <c r="DU141" s="87"/>
      <c r="DV141" s="87"/>
      <c r="DW141" s="87"/>
      <c r="DX141" s="87"/>
      <c r="DY141" s="87"/>
      <c r="DZ141" s="87"/>
      <c r="EA141" s="87"/>
      <c r="EB141" s="87"/>
      <c r="EC141" s="87"/>
      <c r="ED141" s="89"/>
      <c r="EE141" s="87"/>
      <c r="EF141" s="87"/>
      <c r="EG141" s="87"/>
      <c r="EH141" s="87"/>
      <c r="EI141" s="87"/>
      <c r="EJ141" s="87"/>
      <c r="EK141" s="87"/>
      <c r="EL141" s="87"/>
      <c r="EM141" s="87"/>
      <c r="EN141" s="87"/>
      <c r="EO141" s="87"/>
      <c r="EP141" s="87"/>
      <c r="EQ141" s="89"/>
      <c r="ER141" s="87"/>
      <c r="ES141" s="87"/>
      <c r="ET141" s="87"/>
      <c r="EU141" s="87"/>
      <c r="EV141" s="87"/>
      <c r="EW141" s="87"/>
      <c r="EX141" s="87"/>
      <c r="EY141" s="87"/>
      <c r="EZ141" s="87"/>
      <c r="FA141" s="87"/>
      <c r="FB141" s="87"/>
      <c r="FC141" s="87"/>
      <c r="FD141" s="97"/>
      <c r="FE141" s="87"/>
      <c r="FF141" s="87"/>
      <c r="FG141" s="87"/>
      <c r="FH141" s="87"/>
      <c r="FI141" s="87"/>
      <c r="FJ141" s="87"/>
      <c r="FK141" s="87"/>
      <c r="FL141" s="87"/>
      <c r="FM141" s="87"/>
      <c r="FN141" s="87"/>
      <c r="FO141" s="87"/>
      <c r="FP141" s="87"/>
      <c r="FQ141" s="91"/>
      <c r="FR141" s="102"/>
      <c r="GA141" s="34"/>
    </row>
    <row r="142" spans="1:183" x14ac:dyDescent="0.25">
      <c r="A142" s="11" t="s">
        <v>353</v>
      </c>
      <c r="B142" s="25" t="s">
        <v>357</v>
      </c>
      <c r="C142" s="1" t="s">
        <v>358</v>
      </c>
      <c r="D142" s="141">
        <f t="shared" si="31"/>
        <v>9.75</v>
      </c>
      <c r="E142" s="141">
        <v>5</v>
      </c>
      <c r="F142" s="141">
        <v>7</v>
      </c>
      <c r="G142" s="141">
        <v>12</v>
      </c>
      <c r="H142" s="141">
        <v>15</v>
      </c>
      <c r="P142" s="77"/>
      <c r="Q142" s="159">
        <f t="shared" si="32"/>
        <v>9.6999999999999993</v>
      </c>
      <c r="R142" s="141">
        <v>7</v>
      </c>
      <c r="S142" s="141">
        <v>9</v>
      </c>
      <c r="T142" s="141">
        <v>10</v>
      </c>
      <c r="U142" s="141">
        <v>11</v>
      </c>
      <c r="V142" s="141">
        <v>10</v>
      </c>
      <c r="W142" s="141">
        <v>9</v>
      </c>
      <c r="X142" s="141">
        <v>8</v>
      </c>
      <c r="Y142" s="141">
        <v>10</v>
      </c>
      <c r="Z142" s="141">
        <v>9</v>
      </c>
      <c r="AA142" s="141">
        <v>9</v>
      </c>
      <c r="AB142" s="141">
        <v>4</v>
      </c>
      <c r="AC142" s="154">
        <v>1</v>
      </c>
      <c r="AD142" s="159">
        <v>9.9</v>
      </c>
      <c r="AE142" s="141">
        <v>5</v>
      </c>
      <c r="AF142" s="141">
        <v>10</v>
      </c>
      <c r="AG142" s="141">
        <v>9</v>
      </c>
      <c r="AH142" s="141">
        <v>10</v>
      </c>
      <c r="AI142" s="141">
        <v>10</v>
      </c>
      <c r="AJ142" s="141">
        <v>10</v>
      </c>
      <c r="AK142" s="141">
        <v>13</v>
      </c>
      <c r="AL142" s="141">
        <v>11</v>
      </c>
      <c r="AM142" s="141">
        <v>9</v>
      </c>
      <c r="AN142" s="141">
        <v>9</v>
      </c>
      <c r="AO142" s="141">
        <v>3</v>
      </c>
      <c r="AP142" s="141">
        <v>0</v>
      </c>
      <c r="AQ142" s="9">
        <f t="shared" si="34"/>
        <v>8.5</v>
      </c>
      <c r="AR142" s="3">
        <v>7</v>
      </c>
      <c r="AS142" s="3">
        <v>7</v>
      </c>
      <c r="AT142" s="3">
        <v>8</v>
      </c>
      <c r="AU142" s="3">
        <v>8</v>
      </c>
      <c r="AV142" s="3">
        <v>7</v>
      </c>
      <c r="AW142" s="3">
        <v>8</v>
      </c>
      <c r="AX142" s="3">
        <v>8</v>
      </c>
      <c r="AY142" s="3">
        <v>8</v>
      </c>
      <c r="AZ142" s="3">
        <v>8</v>
      </c>
      <c r="BA142" s="3">
        <v>9</v>
      </c>
      <c r="BB142" s="3">
        <v>4</v>
      </c>
      <c r="BC142" s="3">
        <v>3</v>
      </c>
      <c r="BD142" s="117">
        <v>8</v>
      </c>
      <c r="BE142" s="3">
        <v>4</v>
      </c>
      <c r="BF142" s="3">
        <v>4</v>
      </c>
      <c r="BG142" s="3">
        <v>7</v>
      </c>
      <c r="BH142" s="3">
        <v>11</v>
      </c>
      <c r="BI142" s="3">
        <v>11</v>
      </c>
      <c r="BJ142" s="3">
        <v>9</v>
      </c>
      <c r="BK142" s="3">
        <v>8</v>
      </c>
      <c r="BL142" s="3">
        <v>8</v>
      </c>
      <c r="BM142" s="3">
        <v>8</v>
      </c>
      <c r="BN142" s="3">
        <v>7</v>
      </c>
      <c r="BO142" s="3">
        <v>3</v>
      </c>
      <c r="BP142" s="20">
        <v>0</v>
      </c>
      <c r="BQ142" s="65">
        <v>4.5</v>
      </c>
      <c r="BR142" s="3">
        <v>0</v>
      </c>
      <c r="BS142" s="3">
        <v>0</v>
      </c>
      <c r="BT142" s="3">
        <v>0</v>
      </c>
      <c r="BU142" s="3">
        <v>6</v>
      </c>
      <c r="BV142" s="3">
        <v>7</v>
      </c>
      <c r="BW142" s="3">
        <v>7</v>
      </c>
      <c r="BX142" s="3">
        <v>5</v>
      </c>
      <c r="BY142" s="3">
        <v>6</v>
      </c>
      <c r="BZ142" s="3">
        <v>7</v>
      </c>
      <c r="CA142" s="3">
        <v>7</v>
      </c>
      <c r="CB142" s="3">
        <v>0</v>
      </c>
      <c r="CC142" s="3">
        <v>0</v>
      </c>
      <c r="CD142" s="16">
        <v>0</v>
      </c>
      <c r="CE142" s="3"/>
      <c r="CF142" s="3"/>
      <c r="CG142" s="3"/>
      <c r="CH142" s="3"/>
      <c r="CI142" s="3"/>
      <c r="CL142" s="66">
        <v>0</v>
      </c>
      <c r="CM142" s="66">
        <v>0</v>
      </c>
      <c r="CN142" s="66">
        <v>0</v>
      </c>
      <c r="CO142" s="3">
        <v>0</v>
      </c>
      <c r="CP142" s="3">
        <v>0</v>
      </c>
      <c r="CQ142" s="89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89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20"/>
      <c r="DQ142" s="89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89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89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97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91"/>
      <c r="FR142" s="102"/>
      <c r="GA142" s="34"/>
    </row>
    <row r="143" spans="1:183" x14ac:dyDescent="0.25">
      <c r="A143" s="6" t="s">
        <v>329</v>
      </c>
      <c r="B143" s="27" t="s">
        <v>330</v>
      </c>
      <c r="C143" s="4" t="s">
        <v>331</v>
      </c>
      <c r="D143" s="137">
        <f t="shared" si="31"/>
        <v>3.25</v>
      </c>
      <c r="E143" s="137">
        <v>4</v>
      </c>
      <c r="F143" s="137">
        <v>3</v>
      </c>
      <c r="G143" s="137">
        <v>3</v>
      </c>
      <c r="H143" s="137">
        <v>3</v>
      </c>
      <c r="I143" s="4"/>
      <c r="J143" s="4"/>
      <c r="K143" s="4"/>
      <c r="L143" s="4"/>
      <c r="M143" s="4"/>
      <c r="N143" s="4"/>
      <c r="O143" s="4"/>
      <c r="P143" s="178"/>
      <c r="Q143" s="158">
        <f t="shared" si="32"/>
        <v>6.5</v>
      </c>
      <c r="R143" s="137">
        <v>4</v>
      </c>
      <c r="S143" s="137">
        <v>6</v>
      </c>
      <c r="T143" s="137">
        <v>7</v>
      </c>
      <c r="U143" s="137">
        <v>7</v>
      </c>
      <c r="V143" s="137">
        <v>6</v>
      </c>
      <c r="W143" s="137">
        <v>6</v>
      </c>
      <c r="X143" s="137">
        <v>7</v>
      </c>
      <c r="Y143" s="137">
        <v>7</v>
      </c>
      <c r="Z143" s="137">
        <v>7</v>
      </c>
      <c r="AA143" s="137">
        <v>8</v>
      </c>
      <c r="AB143" s="137">
        <v>0</v>
      </c>
      <c r="AC143" s="140">
        <v>0</v>
      </c>
      <c r="AD143" s="158">
        <v>4.2</v>
      </c>
      <c r="AE143" s="137">
        <v>2</v>
      </c>
      <c r="AF143" s="137">
        <v>2</v>
      </c>
      <c r="AG143" s="137">
        <v>3</v>
      </c>
      <c r="AH143" s="137">
        <v>5</v>
      </c>
      <c r="AI143" s="137">
        <v>5</v>
      </c>
      <c r="AJ143" s="137">
        <v>6</v>
      </c>
      <c r="AK143" s="137">
        <v>4</v>
      </c>
      <c r="AL143" s="137">
        <v>5</v>
      </c>
      <c r="AM143" s="137">
        <v>4</v>
      </c>
      <c r="AN143" s="137">
        <v>6</v>
      </c>
      <c r="AO143" s="137">
        <v>0</v>
      </c>
      <c r="AP143" s="140">
        <v>0</v>
      </c>
      <c r="AQ143" s="8">
        <f t="shared" si="34"/>
        <v>3</v>
      </c>
      <c r="AR143" s="14">
        <v>3</v>
      </c>
      <c r="AS143" s="14">
        <v>2</v>
      </c>
      <c r="AT143" s="14">
        <v>2</v>
      </c>
      <c r="AU143" s="14">
        <v>3</v>
      </c>
      <c r="AV143" s="14">
        <v>3</v>
      </c>
      <c r="AW143" s="14">
        <v>2</v>
      </c>
      <c r="AX143" s="14">
        <v>2</v>
      </c>
      <c r="AY143" s="14">
        <v>2</v>
      </c>
      <c r="AZ143" s="14">
        <v>2</v>
      </c>
      <c r="BA143" s="14">
        <v>3</v>
      </c>
      <c r="BB143" s="14">
        <v>3</v>
      </c>
      <c r="BC143" s="19">
        <v>3</v>
      </c>
      <c r="BD143" s="116">
        <v>4.4000000000000004</v>
      </c>
      <c r="BE143" s="14">
        <v>4</v>
      </c>
      <c r="BF143" s="14">
        <v>5</v>
      </c>
      <c r="BG143" s="14">
        <v>6</v>
      </c>
      <c r="BH143" s="14">
        <v>4</v>
      </c>
      <c r="BI143" s="14">
        <v>4</v>
      </c>
      <c r="BJ143" s="14">
        <v>3</v>
      </c>
      <c r="BK143" s="14">
        <v>4</v>
      </c>
      <c r="BL143" s="14">
        <v>4</v>
      </c>
      <c r="BM143" s="14">
        <v>5</v>
      </c>
      <c r="BN143" s="14">
        <v>5</v>
      </c>
      <c r="BO143" s="14">
        <v>0</v>
      </c>
      <c r="BP143" s="19">
        <v>0</v>
      </c>
      <c r="BQ143" s="70">
        <v>2.7</v>
      </c>
      <c r="BR143" s="14">
        <v>0</v>
      </c>
      <c r="BS143" s="14">
        <v>0</v>
      </c>
      <c r="BT143" s="14">
        <v>2</v>
      </c>
      <c r="BU143" s="14">
        <v>2</v>
      </c>
      <c r="BV143" s="14">
        <v>2</v>
      </c>
      <c r="BW143" s="14">
        <v>2</v>
      </c>
      <c r="BX143" s="14">
        <v>2</v>
      </c>
      <c r="BY143" s="14">
        <v>4</v>
      </c>
      <c r="BZ143" s="14">
        <v>4</v>
      </c>
      <c r="CA143" s="14">
        <v>5</v>
      </c>
      <c r="CB143" s="14">
        <v>2</v>
      </c>
      <c r="CC143" s="14">
        <v>2</v>
      </c>
      <c r="CD143" s="17">
        <v>0</v>
      </c>
      <c r="CE143" s="14">
        <v>0</v>
      </c>
      <c r="CF143" s="14">
        <v>0</v>
      </c>
      <c r="CG143" s="14">
        <v>0</v>
      </c>
      <c r="CH143" s="14">
        <v>0</v>
      </c>
      <c r="CI143" s="14">
        <v>0</v>
      </c>
      <c r="CJ143" s="14">
        <v>0</v>
      </c>
      <c r="CK143" s="14">
        <v>0</v>
      </c>
      <c r="CL143" s="71">
        <v>0</v>
      </c>
      <c r="CM143" s="71">
        <v>0</v>
      </c>
      <c r="CN143" s="71">
        <v>0</v>
      </c>
      <c r="CO143" s="14">
        <v>0</v>
      </c>
      <c r="CP143" s="19">
        <v>0</v>
      </c>
      <c r="CQ143" s="98"/>
      <c r="CR143" s="1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98"/>
      <c r="DE143" s="14"/>
      <c r="DF143" s="14"/>
      <c r="DG143" s="14"/>
      <c r="DH143" s="14"/>
      <c r="DI143" s="14"/>
      <c r="DJ143" s="14"/>
      <c r="DK143" s="14"/>
      <c r="DL143" s="14"/>
      <c r="DM143" s="14"/>
      <c r="DN143" s="4"/>
      <c r="DO143" s="4"/>
      <c r="DP143" s="4"/>
      <c r="DQ143" s="98"/>
      <c r="DR143" s="14"/>
      <c r="DS143" s="14"/>
      <c r="DT143" s="14"/>
      <c r="DU143" s="14"/>
      <c r="DV143" s="14"/>
      <c r="DW143" s="14"/>
      <c r="DX143" s="14"/>
      <c r="DY143" s="14"/>
      <c r="DZ143" s="14"/>
      <c r="EA143" s="4"/>
      <c r="EB143" s="4"/>
      <c r="EC143" s="4"/>
      <c r="ED143" s="98"/>
      <c r="EE143" s="14"/>
      <c r="EF143" s="14"/>
      <c r="EG143" s="14"/>
      <c r="EH143" s="14"/>
      <c r="EI143" s="14"/>
      <c r="EJ143" s="14"/>
      <c r="EK143" s="14"/>
      <c r="EL143" s="14"/>
      <c r="EM143" s="14"/>
      <c r="EN143" s="4"/>
      <c r="EO143" s="4"/>
      <c r="EP143" s="4"/>
      <c r="EQ143" s="98"/>
      <c r="ER143" s="14"/>
      <c r="ES143" s="14"/>
      <c r="ET143" s="14"/>
      <c r="EU143" s="14"/>
      <c r="EV143" s="14"/>
      <c r="EW143" s="14"/>
      <c r="EX143" s="14"/>
      <c r="EY143" s="14"/>
      <c r="EZ143" s="14"/>
      <c r="FA143" s="4"/>
      <c r="FB143" s="4"/>
      <c r="FC143" s="4"/>
      <c r="FD143" s="98"/>
      <c r="FE143" s="14"/>
      <c r="FF143" s="14"/>
      <c r="FG143" s="14"/>
      <c r="FH143" s="14"/>
      <c r="FI143" s="14"/>
      <c r="FJ143" s="14"/>
      <c r="FK143" s="14"/>
      <c r="FL143" s="14"/>
      <c r="FM143" s="14"/>
      <c r="FN143" s="4"/>
      <c r="FO143" s="4"/>
      <c r="FP143" s="4"/>
      <c r="FQ143" s="108"/>
      <c r="FR143" s="108"/>
      <c r="GA143" s="34"/>
    </row>
    <row r="144" spans="1:183" x14ac:dyDescent="0.25">
      <c r="A144" s="6" t="s">
        <v>160</v>
      </c>
      <c r="B144" s="82" t="s">
        <v>163</v>
      </c>
      <c r="C144" s="1" t="s">
        <v>133</v>
      </c>
      <c r="D144" s="141">
        <f t="shared" si="31"/>
        <v>91.865000000000009</v>
      </c>
      <c r="E144" s="141">
        <v>55.21</v>
      </c>
      <c r="F144" s="141">
        <v>98.02000000000001</v>
      </c>
      <c r="G144" s="141">
        <v>108.69999999999999</v>
      </c>
      <c r="H144" s="141">
        <v>105.53</v>
      </c>
      <c r="P144" s="77"/>
      <c r="Q144" s="159">
        <f t="shared" si="32"/>
        <v>95.540999999999997</v>
      </c>
      <c r="R144" s="141">
        <v>32.119999999999997</v>
      </c>
      <c r="S144" s="141">
        <v>68.63</v>
      </c>
      <c r="T144" s="141">
        <v>82.289999999999992</v>
      </c>
      <c r="U144" s="141">
        <v>82.61</v>
      </c>
      <c r="V144" s="141">
        <v>84.94</v>
      </c>
      <c r="W144" s="141">
        <v>85.46</v>
      </c>
      <c r="X144" s="141">
        <v>82.26</v>
      </c>
      <c r="Y144" s="141">
        <v>90.49</v>
      </c>
      <c r="Z144" s="141">
        <v>112.65</v>
      </c>
      <c r="AA144" s="141">
        <v>116.11</v>
      </c>
      <c r="AB144" s="141">
        <v>75.2</v>
      </c>
      <c r="AC144" s="154">
        <v>42.65</v>
      </c>
      <c r="AD144" s="159">
        <v>92.941000000000003</v>
      </c>
      <c r="AE144" s="141">
        <v>45.989999999999995</v>
      </c>
      <c r="AF144" s="141">
        <v>76.81</v>
      </c>
      <c r="AG144" s="141">
        <v>93.13</v>
      </c>
      <c r="AH144" s="141">
        <v>84.99</v>
      </c>
      <c r="AI144" s="141">
        <v>61.66</v>
      </c>
      <c r="AJ144" s="141">
        <v>77.61</v>
      </c>
      <c r="AK144" s="141">
        <v>86.61</v>
      </c>
      <c r="AL144" s="141">
        <v>93.289999999999992</v>
      </c>
      <c r="AM144" s="141">
        <v>100.1</v>
      </c>
      <c r="AN144" s="141">
        <v>97.89</v>
      </c>
      <c r="AO144" s="141">
        <v>69.55</v>
      </c>
      <c r="AP144" s="154">
        <v>41.779999999999994</v>
      </c>
      <c r="AQ144" s="9">
        <f t="shared" si="34"/>
        <v>67.236999999999995</v>
      </c>
      <c r="AR144" s="3">
        <v>22.66</v>
      </c>
      <c r="AS144" s="3">
        <v>46</v>
      </c>
      <c r="AT144" s="3">
        <v>55.47</v>
      </c>
      <c r="AU144" s="3">
        <v>60.809999999999995</v>
      </c>
      <c r="AV144" s="3">
        <v>55.33</v>
      </c>
      <c r="AW144" s="3">
        <v>67.81</v>
      </c>
      <c r="AX144" s="3">
        <v>63.34</v>
      </c>
      <c r="AY144" s="3">
        <v>70.930000000000007</v>
      </c>
      <c r="AZ144" s="3">
        <v>75.61</v>
      </c>
      <c r="BA144" s="3">
        <v>77.95</v>
      </c>
      <c r="BB144" s="3">
        <v>48.13</v>
      </c>
      <c r="BC144" s="20">
        <v>28.33</v>
      </c>
      <c r="BD144" s="117">
        <v>77.595999999999989</v>
      </c>
      <c r="BE144" s="3">
        <v>56.61</v>
      </c>
      <c r="BF144" s="3">
        <v>77</v>
      </c>
      <c r="BG144" s="3">
        <v>70.989999999999995</v>
      </c>
      <c r="BH144" s="3">
        <v>64.66</v>
      </c>
      <c r="BI144" s="3">
        <v>62.33</v>
      </c>
      <c r="BJ144" s="3">
        <v>65.52</v>
      </c>
      <c r="BK144" s="3">
        <v>71.19</v>
      </c>
      <c r="BL144" s="3">
        <v>83.99</v>
      </c>
      <c r="BM144" s="3">
        <v>83.8</v>
      </c>
      <c r="BN144" s="3">
        <v>78.33</v>
      </c>
      <c r="BO144" s="3">
        <v>43.66</v>
      </c>
      <c r="BP144" s="20">
        <v>17.88</v>
      </c>
      <c r="BQ144" s="65">
        <v>85.415999999999997</v>
      </c>
      <c r="BR144" s="3">
        <v>52.53</v>
      </c>
      <c r="BS144" s="3">
        <v>79.06</v>
      </c>
      <c r="BT144" s="3">
        <v>73.930000000000007</v>
      </c>
      <c r="BU144" s="3">
        <v>82.39</v>
      </c>
      <c r="BV144" s="3">
        <v>86.59</v>
      </c>
      <c r="BW144" s="3">
        <v>87.2</v>
      </c>
      <c r="BX144" s="3">
        <v>88.19</v>
      </c>
      <c r="BY144" s="3">
        <v>85.86</v>
      </c>
      <c r="BZ144" s="3">
        <v>102.28</v>
      </c>
      <c r="CA144" s="3">
        <v>81.8</v>
      </c>
      <c r="CB144" s="3">
        <v>24</v>
      </c>
      <c r="CC144" s="3">
        <v>10.33</v>
      </c>
      <c r="CD144" s="16">
        <v>82.713999999999984</v>
      </c>
      <c r="CE144" s="3">
        <v>21.33</v>
      </c>
      <c r="CF144" s="3">
        <v>73.510000000000005</v>
      </c>
      <c r="CG144" s="3">
        <v>88.49</v>
      </c>
      <c r="CH144" s="3">
        <v>84.69</v>
      </c>
      <c r="CI144" s="3">
        <v>81.36</v>
      </c>
      <c r="CJ144" s="3">
        <v>91.01</v>
      </c>
      <c r="CK144" s="3">
        <v>95.66</v>
      </c>
      <c r="CL144" s="66">
        <v>90.41</v>
      </c>
      <c r="CM144" s="66">
        <v>104.5</v>
      </c>
      <c r="CN144" s="66">
        <v>96.18</v>
      </c>
      <c r="CO144" s="3">
        <v>0</v>
      </c>
      <c r="CP144" s="20">
        <v>0</v>
      </c>
      <c r="CQ144" s="9">
        <v>101.22999999999999</v>
      </c>
      <c r="CR144" s="3">
        <v>59</v>
      </c>
      <c r="CS144" s="3">
        <v>83.47</v>
      </c>
      <c r="CT144" s="3">
        <v>80.33</v>
      </c>
      <c r="CU144" s="3">
        <v>104.34</v>
      </c>
      <c r="CV144" s="3">
        <v>105.67</v>
      </c>
      <c r="CW144" s="3">
        <v>93.99</v>
      </c>
      <c r="CX144" s="3">
        <v>102.02</v>
      </c>
      <c r="CY144" s="3">
        <v>101.35</v>
      </c>
      <c r="CZ144" s="3">
        <v>117.15</v>
      </c>
      <c r="DA144" s="3">
        <v>107.82</v>
      </c>
      <c r="DB144" s="3">
        <v>29.14</v>
      </c>
      <c r="DC144" s="3">
        <v>28.02</v>
      </c>
      <c r="DD144" s="9">
        <v>102.50699999999998</v>
      </c>
      <c r="DE144" s="3">
        <v>66</v>
      </c>
      <c r="DF144" s="3">
        <v>76.64</v>
      </c>
      <c r="DG144" s="3">
        <v>87.2</v>
      </c>
      <c r="DH144" s="3">
        <v>84.74</v>
      </c>
      <c r="DI144" s="3">
        <v>75.87</v>
      </c>
      <c r="DJ144" s="3">
        <v>107.81</v>
      </c>
      <c r="DK144" s="3">
        <v>113.8</v>
      </c>
      <c r="DL144" s="3">
        <v>114</v>
      </c>
      <c r="DM144" s="3">
        <v>111.67</v>
      </c>
      <c r="DN144" s="3">
        <v>111.67</v>
      </c>
      <c r="DO144" s="3">
        <v>56.06</v>
      </c>
      <c r="DP144" s="20">
        <v>19.61</v>
      </c>
      <c r="DQ144" s="9">
        <v>77.149000000000001</v>
      </c>
      <c r="DR144" s="3">
        <v>56</v>
      </c>
      <c r="DS144" s="3">
        <v>65.12</v>
      </c>
      <c r="DT144" s="3">
        <v>72.12</v>
      </c>
      <c r="DU144" s="3">
        <v>74</v>
      </c>
      <c r="DV144" s="3">
        <v>72.64</v>
      </c>
      <c r="DW144" s="3">
        <v>86.96</v>
      </c>
      <c r="DX144" s="3">
        <v>79.3</v>
      </c>
      <c r="DY144" s="3">
        <v>81.98</v>
      </c>
      <c r="DZ144" s="3">
        <v>81.319999999999993</v>
      </c>
      <c r="EA144" s="3">
        <v>80.319999999999993</v>
      </c>
      <c r="EB144" s="3">
        <v>16.73</v>
      </c>
      <c r="EC144" s="3">
        <v>5</v>
      </c>
      <c r="ED144" s="9">
        <f t="shared" si="35"/>
        <v>51.484999999999999</v>
      </c>
      <c r="EE144" s="3">
        <v>25</v>
      </c>
      <c r="EF144" s="3">
        <v>25</v>
      </c>
      <c r="EG144" s="3">
        <v>32</v>
      </c>
      <c r="EH144" s="3">
        <v>41</v>
      </c>
      <c r="EI144" s="3">
        <v>48.87</v>
      </c>
      <c r="EJ144" s="3">
        <v>70</v>
      </c>
      <c r="EK144" s="3">
        <v>71</v>
      </c>
      <c r="EL144" s="3">
        <v>68</v>
      </c>
      <c r="EM144" s="3">
        <v>58.98</v>
      </c>
      <c r="EN144" s="3">
        <v>58</v>
      </c>
      <c r="EO144" s="3">
        <v>17</v>
      </c>
      <c r="EP144" s="3">
        <v>0</v>
      </c>
      <c r="EQ144" s="9">
        <f t="shared" si="36"/>
        <v>35.4</v>
      </c>
      <c r="ER144" s="3">
        <v>10</v>
      </c>
      <c r="ES144" s="3">
        <v>16</v>
      </c>
      <c r="ET144" s="3">
        <v>35</v>
      </c>
      <c r="EU144" s="3">
        <v>36</v>
      </c>
      <c r="EV144" s="3">
        <v>37</v>
      </c>
      <c r="EW144" s="3">
        <v>41</v>
      </c>
      <c r="EX144" s="3">
        <v>47</v>
      </c>
      <c r="EY144" s="3">
        <v>49</v>
      </c>
      <c r="EZ144" s="3">
        <v>41</v>
      </c>
      <c r="FA144" s="3">
        <v>42</v>
      </c>
      <c r="FB144" s="3">
        <v>0</v>
      </c>
      <c r="FC144" s="3">
        <v>0</v>
      </c>
      <c r="FD144" s="97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20"/>
      <c r="FQ144" s="102"/>
      <c r="FR144" s="102"/>
      <c r="GA144" s="34"/>
    </row>
    <row r="145" spans="1:187" x14ac:dyDescent="0.25">
      <c r="A145" s="6" t="s">
        <v>126</v>
      </c>
      <c r="B145" s="25" t="s">
        <v>113</v>
      </c>
      <c r="C145" s="1" t="s">
        <v>112</v>
      </c>
      <c r="D145" s="141">
        <f t="shared" si="31"/>
        <v>63.082499999999996</v>
      </c>
      <c r="E145" s="141">
        <v>51</v>
      </c>
      <c r="F145" s="141">
        <v>61.33</v>
      </c>
      <c r="G145" s="141">
        <v>69</v>
      </c>
      <c r="H145" s="141">
        <v>71</v>
      </c>
      <c r="P145" s="77"/>
      <c r="Q145" s="159">
        <f t="shared" si="32"/>
        <v>53.332000000000008</v>
      </c>
      <c r="R145" s="141">
        <v>7</v>
      </c>
      <c r="S145" s="141">
        <v>38</v>
      </c>
      <c r="T145" s="141">
        <v>44</v>
      </c>
      <c r="U145" s="141">
        <v>49</v>
      </c>
      <c r="V145" s="141">
        <v>55</v>
      </c>
      <c r="W145" s="141">
        <v>62</v>
      </c>
      <c r="X145" s="141">
        <v>64</v>
      </c>
      <c r="Y145" s="141">
        <v>70</v>
      </c>
      <c r="Z145" s="141">
        <v>72</v>
      </c>
      <c r="AA145" s="141">
        <v>68</v>
      </c>
      <c r="AB145" s="141">
        <v>3.3200000000000003</v>
      </c>
      <c r="AC145" s="154">
        <v>1</v>
      </c>
      <c r="AD145" s="159">
        <v>24.978000000000002</v>
      </c>
      <c r="AE145" s="141">
        <v>1</v>
      </c>
      <c r="AF145" s="141">
        <v>18.670000000000002</v>
      </c>
      <c r="AG145" s="141">
        <v>18.670000000000002</v>
      </c>
      <c r="AH145" s="141">
        <v>23.67</v>
      </c>
      <c r="AI145" s="141">
        <v>29</v>
      </c>
      <c r="AJ145" s="141">
        <v>27.669999999999998</v>
      </c>
      <c r="AK145" s="141">
        <v>28.540000000000003</v>
      </c>
      <c r="AL145" s="141">
        <v>28.66</v>
      </c>
      <c r="AM145" s="141">
        <v>29.990000000000002</v>
      </c>
      <c r="AN145" s="141">
        <v>34.99</v>
      </c>
      <c r="AO145" s="141">
        <v>6.46</v>
      </c>
      <c r="AP145" s="154">
        <v>2.46</v>
      </c>
      <c r="AQ145" s="9">
        <f t="shared" si="34"/>
        <v>3.9989999999999997</v>
      </c>
      <c r="AR145" s="3">
        <v>0</v>
      </c>
      <c r="AS145" s="3">
        <v>8</v>
      </c>
      <c r="AT145" s="3">
        <v>8</v>
      </c>
      <c r="AU145" s="3">
        <v>8</v>
      </c>
      <c r="AV145" s="3">
        <v>5</v>
      </c>
      <c r="AW145" s="3">
        <v>5</v>
      </c>
      <c r="AX145" s="3">
        <v>5</v>
      </c>
      <c r="AY145" s="3">
        <v>0.33</v>
      </c>
      <c r="AZ145" s="3">
        <v>0.33</v>
      </c>
      <c r="BA145" s="3">
        <v>0.33</v>
      </c>
      <c r="BB145" s="3">
        <v>0</v>
      </c>
      <c r="BC145" s="20">
        <v>0</v>
      </c>
      <c r="BD145" s="117">
        <v>28</v>
      </c>
      <c r="BE145" s="3">
        <v>12</v>
      </c>
      <c r="BF145" s="3">
        <v>23</v>
      </c>
      <c r="BG145" s="3">
        <v>38</v>
      </c>
      <c r="BH145" s="3">
        <v>34</v>
      </c>
      <c r="BI145" s="3">
        <v>41</v>
      </c>
      <c r="BJ145" s="3">
        <v>42</v>
      </c>
      <c r="BK145" s="3">
        <v>32</v>
      </c>
      <c r="BL145" s="3">
        <v>27</v>
      </c>
      <c r="BM145" s="3">
        <v>20</v>
      </c>
      <c r="BN145" s="3">
        <v>11</v>
      </c>
      <c r="BO145" s="3">
        <v>0</v>
      </c>
      <c r="BP145" s="20">
        <v>0</v>
      </c>
      <c r="BQ145" s="65">
        <v>24.7</v>
      </c>
      <c r="BR145" s="3">
        <v>39</v>
      </c>
      <c r="BS145" s="3">
        <v>36</v>
      </c>
      <c r="BT145" s="3">
        <v>21</v>
      </c>
      <c r="BU145" s="3">
        <v>17</v>
      </c>
      <c r="BV145" s="3">
        <v>13</v>
      </c>
      <c r="BW145" s="3">
        <v>21</v>
      </c>
      <c r="BX145" s="3">
        <v>22</v>
      </c>
      <c r="BY145" s="3">
        <v>20</v>
      </c>
      <c r="BZ145" s="3">
        <v>21</v>
      </c>
      <c r="CA145" s="3">
        <v>18</v>
      </c>
      <c r="CB145" s="3">
        <v>12</v>
      </c>
      <c r="CC145" s="3">
        <v>7</v>
      </c>
      <c r="CD145" s="16">
        <v>73.704999999999998</v>
      </c>
      <c r="CE145" s="3">
        <v>67</v>
      </c>
      <c r="CF145" s="3">
        <v>64</v>
      </c>
      <c r="CG145" s="3">
        <v>73</v>
      </c>
      <c r="CH145" s="3">
        <v>78</v>
      </c>
      <c r="CI145" s="3">
        <v>79</v>
      </c>
      <c r="CJ145" s="3">
        <v>75</v>
      </c>
      <c r="CK145" s="3">
        <v>75</v>
      </c>
      <c r="CL145" s="66">
        <v>71.2</v>
      </c>
      <c r="CM145" s="66">
        <v>74.05</v>
      </c>
      <c r="CN145" s="66">
        <v>78.8</v>
      </c>
      <c r="CO145" s="3">
        <v>1</v>
      </c>
      <c r="CP145" s="20">
        <v>1</v>
      </c>
      <c r="CQ145" s="9">
        <v>85.2</v>
      </c>
      <c r="CR145" s="3">
        <v>59</v>
      </c>
      <c r="CS145" s="3">
        <v>61</v>
      </c>
      <c r="CT145" s="3">
        <v>71</v>
      </c>
      <c r="CU145" s="3">
        <v>78</v>
      </c>
      <c r="CV145" s="3">
        <v>66</v>
      </c>
      <c r="CW145" s="3">
        <v>71</v>
      </c>
      <c r="CX145" s="3">
        <v>79</v>
      </c>
      <c r="CY145" s="3">
        <v>75</v>
      </c>
      <c r="CZ145" s="3">
        <v>78</v>
      </c>
      <c r="DA145" s="3">
        <v>83</v>
      </c>
      <c r="DB145" s="3">
        <v>70</v>
      </c>
      <c r="DC145" s="3">
        <v>61</v>
      </c>
      <c r="DD145" s="9">
        <v>64.7</v>
      </c>
      <c r="DE145" s="3">
        <v>28</v>
      </c>
      <c r="DF145" s="3">
        <v>30</v>
      </c>
      <c r="DG145" s="3">
        <v>40</v>
      </c>
      <c r="DH145" s="3">
        <v>40</v>
      </c>
      <c r="DI145" s="3">
        <v>43</v>
      </c>
      <c r="DJ145" s="3">
        <v>61</v>
      </c>
      <c r="DK145" s="3">
        <v>63</v>
      </c>
      <c r="DL145" s="3">
        <v>63</v>
      </c>
      <c r="DM145" s="3">
        <v>69</v>
      </c>
      <c r="DN145" s="3">
        <v>74</v>
      </c>
      <c r="DO145" s="3">
        <v>63</v>
      </c>
      <c r="DP145" s="20">
        <v>73</v>
      </c>
      <c r="DQ145" s="9">
        <v>12.3</v>
      </c>
      <c r="DR145" s="3">
        <v>2</v>
      </c>
      <c r="DS145" s="3">
        <v>3</v>
      </c>
      <c r="DT145" s="3">
        <v>4</v>
      </c>
      <c r="DU145" s="3">
        <v>7</v>
      </c>
      <c r="DV145" s="3">
        <v>13</v>
      </c>
      <c r="DW145" s="3">
        <v>13</v>
      </c>
      <c r="DX145" s="3">
        <v>14</v>
      </c>
      <c r="DY145" s="3">
        <v>14</v>
      </c>
      <c r="DZ145" s="3">
        <v>13</v>
      </c>
      <c r="EA145" s="3">
        <v>10</v>
      </c>
      <c r="EB145" s="3">
        <v>17</v>
      </c>
      <c r="EC145" s="3">
        <v>13</v>
      </c>
      <c r="ED145" s="9">
        <f t="shared" si="35"/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9">
        <f t="shared" si="36"/>
        <v>0.3</v>
      </c>
      <c r="ER145" s="3">
        <v>2</v>
      </c>
      <c r="ES145" s="3">
        <v>1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69">
        <f t="shared" si="29"/>
        <v>5.9</v>
      </c>
      <c r="FE145" s="3"/>
      <c r="FF145" s="3"/>
      <c r="FG145" s="3"/>
      <c r="FH145" s="3"/>
      <c r="FI145" s="3"/>
      <c r="FJ145" s="3">
        <v>8</v>
      </c>
      <c r="FK145" s="3">
        <v>9</v>
      </c>
      <c r="FL145" s="3">
        <v>9</v>
      </c>
      <c r="FM145" s="3">
        <v>11</v>
      </c>
      <c r="FN145" s="3">
        <v>11</v>
      </c>
      <c r="FO145" s="3">
        <v>7</v>
      </c>
      <c r="FP145" s="3">
        <v>4</v>
      </c>
      <c r="FQ145" s="102"/>
      <c r="FR145" s="102"/>
      <c r="GA145" s="34"/>
    </row>
    <row r="146" spans="1:187" x14ac:dyDescent="0.25">
      <c r="A146" s="6" t="s">
        <v>97</v>
      </c>
      <c r="B146" s="25" t="s">
        <v>98</v>
      </c>
      <c r="C146" s="1" t="s">
        <v>99</v>
      </c>
      <c r="D146" s="141">
        <f t="shared" si="31"/>
        <v>28.75</v>
      </c>
      <c r="E146" s="141">
        <v>23</v>
      </c>
      <c r="F146" s="141">
        <v>30</v>
      </c>
      <c r="G146" s="141">
        <v>32</v>
      </c>
      <c r="H146" s="141">
        <v>30</v>
      </c>
      <c r="P146" s="77"/>
      <c r="Q146" s="159">
        <f t="shared" si="32"/>
        <v>37</v>
      </c>
      <c r="R146" s="141">
        <v>32</v>
      </c>
      <c r="S146" s="141">
        <v>42</v>
      </c>
      <c r="T146" s="141">
        <v>43</v>
      </c>
      <c r="U146" s="141">
        <v>40</v>
      </c>
      <c r="V146" s="141">
        <v>38</v>
      </c>
      <c r="W146" s="141">
        <v>38</v>
      </c>
      <c r="X146" s="141">
        <v>34</v>
      </c>
      <c r="Y146" s="141">
        <v>35</v>
      </c>
      <c r="Z146" s="141">
        <v>33</v>
      </c>
      <c r="AA146" s="141">
        <v>35</v>
      </c>
      <c r="AB146" s="141">
        <v>0</v>
      </c>
      <c r="AC146" s="154">
        <v>0</v>
      </c>
      <c r="AD146" s="159">
        <v>34.5</v>
      </c>
      <c r="AE146" s="141">
        <v>17</v>
      </c>
      <c r="AF146" s="141">
        <v>30</v>
      </c>
      <c r="AG146" s="141">
        <v>35</v>
      </c>
      <c r="AH146" s="141">
        <v>37</v>
      </c>
      <c r="AI146" s="141">
        <v>37</v>
      </c>
      <c r="AJ146" s="141">
        <v>34</v>
      </c>
      <c r="AK146" s="141">
        <v>37</v>
      </c>
      <c r="AL146" s="141">
        <v>38</v>
      </c>
      <c r="AM146" s="141">
        <v>34</v>
      </c>
      <c r="AN146" s="141">
        <v>38</v>
      </c>
      <c r="AO146" s="141">
        <v>0</v>
      </c>
      <c r="AP146" s="154">
        <v>8</v>
      </c>
      <c r="AQ146" s="9">
        <f t="shared" si="34"/>
        <v>19.5</v>
      </c>
      <c r="AR146" s="3">
        <v>12</v>
      </c>
      <c r="AS146" s="3">
        <v>17</v>
      </c>
      <c r="AT146" s="3">
        <v>18</v>
      </c>
      <c r="AU146" s="3">
        <v>19</v>
      </c>
      <c r="AV146" s="3">
        <v>16</v>
      </c>
      <c r="AW146" s="3">
        <v>19</v>
      </c>
      <c r="AX146" s="3">
        <v>20</v>
      </c>
      <c r="AY146" s="3">
        <v>26</v>
      </c>
      <c r="AZ146" s="3">
        <v>24</v>
      </c>
      <c r="BA146" s="3">
        <v>24</v>
      </c>
      <c r="BB146" s="3">
        <v>0</v>
      </c>
      <c r="BC146" s="20">
        <v>0</v>
      </c>
      <c r="BD146" s="117">
        <v>12.9</v>
      </c>
      <c r="BE146" s="3">
        <v>10</v>
      </c>
      <c r="BF146" s="3">
        <v>11</v>
      </c>
      <c r="BG146" s="3">
        <v>13</v>
      </c>
      <c r="BH146" s="3">
        <v>13</v>
      </c>
      <c r="BI146" s="3">
        <v>12</v>
      </c>
      <c r="BJ146" s="3">
        <v>12</v>
      </c>
      <c r="BK146" s="3">
        <v>13</v>
      </c>
      <c r="BL146" s="3">
        <v>16</v>
      </c>
      <c r="BM146" s="3">
        <v>14</v>
      </c>
      <c r="BN146" s="3">
        <v>15</v>
      </c>
      <c r="BO146" s="3">
        <v>0</v>
      </c>
      <c r="BP146" s="20">
        <v>0</v>
      </c>
      <c r="BQ146" s="65">
        <v>24.5</v>
      </c>
      <c r="BR146" s="3">
        <v>9</v>
      </c>
      <c r="BS146" s="3">
        <v>20</v>
      </c>
      <c r="BT146" s="3">
        <v>25</v>
      </c>
      <c r="BU146" s="3">
        <v>22</v>
      </c>
      <c r="BV146" s="3">
        <v>21</v>
      </c>
      <c r="BW146" s="3">
        <v>25</v>
      </c>
      <c r="BX146" s="3">
        <v>27</v>
      </c>
      <c r="BY146" s="3">
        <v>27</v>
      </c>
      <c r="BZ146" s="3">
        <v>29</v>
      </c>
      <c r="CA146" s="3">
        <v>25</v>
      </c>
      <c r="CB146" s="3">
        <v>7</v>
      </c>
      <c r="CC146" s="3">
        <v>8</v>
      </c>
      <c r="CD146" s="16">
        <v>7.117</v>
      </c>
      <c r="CE146" s="3">
        <v>0</v>
      </c>
      <c r="CF146" s="3">
        <v>1</v>
      </c>
      <c r="CG146" s="3">
        <v>5</v>
      </c>
      <c r="CH146" s="3">
        <v>6</v>
      </c>
      <c r="CI146" s="3">
        <v>6</v>
      </c>
      <c r="CJ146" s="3">
        <v>10</v>
      </c>
      <c r="CK146" s="3">
        <v>11</v>
      </c>
      <c r="CL146" s="66">
        <v>10.75</v>
      </c>
      <c r="CM146" s="66">
        <v>10.95</v>
      </c>
      <c r="CN146" s="66">
        <v>10.47</v>
      </c>
      <c r="CO146" s="3">
        <v>0</v>
      </c>
      <c r="CP146" s="20">
        <v>0</v>
      </c>
      <c r="CQ146" s="9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9">
        <v>2.7</v>
      </c>
      <c r="DE146" s="3">
        <v>0</v>
      </c>
      <c r="DF146" s="3">
        <v>0</v>
      </c>
      <c r="DG146" s="3">
        <v>2</v>
      </c>
      <c r="DH146" s="3">
        <v>4</v>
      </c>
      <c r="DI146" s="3">
        <v>4</v>
      </c>
      <c r="DJ146" s="3">
        <v>3</v>
      </c>
      <c r="DK146" s="3">
        <v>4</v>
      </c>
      <c r="DL146" s="3">
        <v>2</v>
      </c>
      <c r="DM146" s="3">
        <v>2</v>
      </c>
      <c r="DN146" s="3">
        <v>2</v>
      </c>
      <c r="DO146" s="3">
        <v>2</v>
      </c>
      <c r="DP146" s="20">
        <v>2</v>
      </c>
      <c r="DQ146" s="9">
        <v>4.0999999999999996</v>
      </c>
      <c r="DR146" s="3">
        <v>9</v>
      </c>
      <c r="DS146" s="3">
        <v>7</v>
      </c>
      <c r="DT146" s="3">
        <v>6</v>
      </c>
      <c r="DU146" s="3">
        <v>3</v>
      </c>
      <c r="DV146" s="3">
        <v>3</v>
      </c>
      <c r="DW146" s="3">
        <v>4</v>
      </c>
      <c r="DX146" s="3">
        <v>2</v>
      </c>
      <c r="DY146" s="3">
        <v>1</v>
      </c>
      <c r="DZ146" s="3">
        <v>2</v>
      </c>
      <c r="EA146" s="3">
        <v>2</v>
      </c>
      <c r="EB146" s="3">
        <v>2</v>
      </c>
      <c r="EC146" s="3">
        <v>0</v>
      </c>
      <c r="ED146" s="9">
        <f t="shared" si="35"/>
        <v>10.8</v>
      </c>
      <c r="EE146" s="3">
        <v>3</v>
      </c>
      <c r="EF146" s="3">
        <v>3</v>
      </c>
      <c r="EG146" s="3">
        <v>8</v>
      </c>
      <c r="EH146" s="3">
        <v>3</v>
      </c>
      <c r="EI146" s="3">
        <v>8</v>
      </c>
      <c r="EJ146" s="3">
        <v>10</v>
      </c>
      <c r="EK146" s="3">
        <v>10</v>
      </c>
      <c r="EL146" s="3">
        <v>14</v>
      </c>
      <c r="EM146" s="3">
        <v>17</v>
      </c>
      <c r="EN146" s="3">
        <v>19</v>
      </c>
      <c r="EO146" s="3">
        <v>0</v>
      </c>
      <c r="EP146" s="3">
        <v>13</v>
      </c>
      <c r="EQ146" s="9">
        <f t="shared" si="36"/>
        <v>9.1999999999999993</v>
      </c>
      <c r="ER146" s="3">
        <v>11</v>
      </c>
      <c r="ES146" s="3">
        <v>12</v>
      </c>
      <c r="ET146" s="3">
        <v>15</v>
      </c>
      <c r="EU146" s="3">
        <v>8</v>
      </c>
      <c r="EV146" s="3">
        <v>9</v>
      </c>
      <c r="EW146" s="3">
        <v>8</v>
      </c>
      <c r="EX146" s="3">
        <v>6</v>
      </c>
      <c r="EY146" s="3">
        <v>7</v>
      </c>
      <c r="EZ146" s="3">
        <v>7</v>
      </c>
      <c r="FA146" s="3">
        <v>9</v>
      </c>
      <c r="FB146" s="3">
        <v>0</v>
      </c>
      <c r="FC146" s="3">
        <v>0</v>
      </c>
      <c r="FD146" s="69">
        <f t="shared" si="29"/>
        <v>11.7</v>
      </c>
      <c r="FE146" s="3"/>
      <c r="FF146" s="3"/>
      <c r="FG146" s="3"/>
      <c r="FH146" s="3">
        <v>15</v>
      </c>
      <c r="FI146" s="3">
        <v>15</v>
      </c>
      <c r="FJ146" s="3">
        <v>14</v>
      </c>
      <c r="FK146" s="3">
        <v>13</v>
      </c>
      <c r="FL146" s="3">
        <v>16</v>
      </c>
      <c r="FM146" s="3">
        <v>18</v>
      </c>
      <c r="FN146" s="3">
        <v>0</v>
      </c>
      <c r="FO146" s="3">
        <v>14</v>
      </c>
      <c r="FP146" s="3">
        <v>12</v>
      </c>
      <c r="FQ146" s="102"/>
      <c r="FR146" s="102"/>
      <c r="GA146" s="34"/>
    </row>
    <row r="147" spans="1:187" x14ac:dyDescent="0.25">
      <c r="A147" s="6" t="s">
        <v>159</v>
      </c>
      <c r="B147" s="68" t="s">
        <v>37</v>
      </c>
      <c r="C147" s="1" t="s">
        <v>38</v>
      </c>
      <c r="D147" s="141">
        <f t="shared" si="31"/>
        <v>105.575</v>
      </c>
      <c r="E147" s="141">
        <v>108</v>
      </c>
      <c r="F147" s="141">
        <v>101.55</v>
      </c>
      <c r="G147" s="141">
        <v>104.55</v>
      </c>
      <c r="H147" s="141">
        <v>108.2</v>
      </c>
      <c r="P147" s="77"/>
      <c r="Q147" s="159">
        <f t="shared" si="32"/>
        <v>103.76499999999999</v>
      </c>
      <c r="R147" s="141">
        <v>116</v>
      </c>
      <c r="S147" s="141">
        <v>117</v>
      </c>
      <c r="T147" s="141">
        <v>109.2</v>
      </c>
      <c r="U147" s="141">
        <v>110.2</v>
      </c>
      <c r="V147" s="141">
        <v>113.1</v>
      </c>
      <c r="W147" s="141">
        <v>111.65</v>
      </c>
      <c r="X147" s="141">
        <v>93.65</v>
      </c>
      <c r="Y147" s="141">
        <v>93.65</v>
      </c>
      <c r="Z147" s="141">
        <v>88.1</v>
      </c>
      <c r="AA147" s="141">
        <v>85.1</v>
      </c>
      <c r="AB147" s="141">
        <v>0</v>
      </c>
      <c r="AC147" s="154">
        <v>0</v>
      </c>
      <c r="AD147" s="159">
        <v>102.26</v>
      </c>
      <c r="AE147" s="141">
        <v>51</v>
      </c>
      <c r="AF147" s="141">
        <v>86.6</v>
      </c>
      <c r="AG147" s="141">
        <v>91.6</v>
      </c>
      <c r="AH147" s="141">
        <v>90.6</v>
      </c>
      <c r="AI147" s="141">
        <v>93</v>
      </c>
      <c r="AJ147" s="141">
        <v>112</v>
      </c>
      <c r="AK147" s="141">
        <v>110</v>
      </c>
      <c r="AL147" s="141">
        <v>120</v>
      </c>
      <c r="AM147" s="141">
        <v>117.2</v>
      </c>
      <c r="AN147" s="141">
        <v>108</v>
      </c>
      <c r="AO147" s="141">
        <v>28.6</v>
      </c>
      <c r="AP147" s="154">
        <v>14</v>
      </c>
      <c r="AQ147" s="9">
        <f t="shared" si="34"/>
        <v>59.3</v>
      </c>
      <c r="AR147" s="3">
        <v>34</v>
      </c>
      <c r="AS147" s="3">
        <v>32</v>
      </c>
      <c r="AT147" s="3">
        <v>65</v>
      </c>
      <c r="AU147" s="3">
        <v>57</v>
      </c>
      <c r="AV147" s="3">
        <v>56</v>
      </c>
      <c r="AW147" s="3">
        <v>60</v>
      </c>
      <c r="AX147" s="3">
        <v>54</v>
      </c>
      <c r="AY147" s="3">
        <v>60</v>
      </c>
      <c r="AZ147" s="3">
        <v>62</v>
      </c>
      <c r="BA147" s="3">
        <v>54</v>
      </c>
      <c r="BB147" s="3">
        <v>35</v>
      </c>
      <c r="BC147" s="20">
        <v>24</v>
      </c>
      <c r="BD147" s="117">
        <v>44</v>
      </c>
      <c r="BE147" s="3">
        <v>51</v>
      </c>
      <c r="BF147" s="3">
        <v>32</v>
      </c>
      <c r="BG147" s="3">
        <v>43</v>
      </c>
      <c r="BH147" s="3">
        <v>42</v>
      </c>
      <c r="BI147" s="3">
        <v>39</v>
      </c>
      <c r="BJ147" s="3">
        <v>42</v>
      </c>
      <c r="BK147" s="3">
        <v>48</v>
      </c>
      <c r="BL147" s="3">
        <v>50</v>
      </c>
      <c r="BM147" s="3">
        <v>48</v>
      </c>
      <c r="BN147" s="3">
        <v>45</v>
      </c>
      <c r="BO147" s="3">
        <v>0</v>
      </c>
      <c r="BP147" s="20">
        <v>0</v>
      </c>
      <c r="BQ147" s="65">
        <v>53.860000000000014</v>
      </c>
      <c r="BR147" s="3">
        <v>51</v>
      </c>
      <c r="BS147" s="3">
        <v>46.4</v>
      </c>
      <c r="BT147" s="3">
        <v>51.4</v>
      </c>
      <c r="BU147" s="3">
        <v>42.8</v>
      </c>
      <c r="BV147" s="3">
        <v>50.8</v>
      </c>
      <c r="BW147" s="3">
        <v>48.6</v>
      </c>
      <c r="BX147" s="3">
        <v>47.6</v>
      </c>
      <c r="BY147" s="3">
        <v>49.6</v>
      </c>
      <c r="BZ147" s="3">
        <v>44.6</v>
      </c>
      <c r="CA147" s="3">
        <v>43</v>
      </c>
      <c r="CB147" s="3">
        <v>41.8</v>
      </c>
      <c r="CC147" s="3">
        <v>21</v>
      </c>
      <c r="CD147" s="16">
        <v>60.777000000000001</v>
      </c>
      <c r="CE147" s="3">
        <v>31.2</v>
      </c>
      <c r="CF147" s="3">
        <v>52.2</v>
      </c>
      <c r="CG147" s="3">
        <v>57.6</v>
      </c>
      <c r="CH147" s="3">
        <v>62</v>
      </c>
      <c r="CI147" s="3">
        <v>60</v>
      </c>
      <c r="CJ147" s="3">
        <v>64</v>
      </c>
      <c r="CK147" s="3">
        <v>70</v>
      </c>
      <c r="CL147" s="66">
        <v>65.930000000000007</v>
      </c>
      <c r="CM147" s="66">
        <v>58.68</v>
      </c>
      <c r="CN147" s="66">
        <v>52.16</v>
      </c>
      <c r="CO147" s="3">
        <v>34</v>
      </c>
      <c r="CP147" s="20">
        <v>0</v>
      </c>
      <c r="CQ147" s="9">
        <v>53.460000000000015</v>
      </c>
      <c r="CR147" s="3">
        <v>36.799999999999997</v>
      </c>
      <c r="CS147" s="3">
        <v>57.8</v>
      </c>
      <c r="CT147" s="3">
        <v>64.400000000000006</v>
      </c>
      <c r="CU147" s="3">
        <v>59</v>
      </c>
      <c r="CV147" s="3">
        <v>45.6</v>
      </c>
      <c r="CW147" s="3">
        <v>71.599999999999994</v>
      </c>
      <c r="CX147" s="3">
        <v>53</v>
      </c>
      <c r="CY147" s="3">
        <v>54.6</v>
      </c>
      <c r="CZ147" s="3">
        <v>48.6</v>
      </c>
      <c r="DA147" s="3">
        <v>43.2</v>
      </c>
      <c r="DB147" s="3">
        <v>0</v>
      </c>
      <c r="DC147" s="3">
        <v>0</v>
      </c>
      <c r="DD147" s="9">
        <v>46.1</v>
      </c>
      <c r="DE147" s="3">
        <v>48</v>
      </c>
      <c r="DF147" s="3">
        <v>51</v>
      </c>
      <c r="DG147" s="3">
        <v>57</v>
      </c>
      <c r="DH147" s="3">
        <v>42</v>
      </c>
      <c r="DI147" s="3">
        <v>39</v>
      </c>
      <c r="DJ147" s="3">
        <v>43</v>
      </c>
      <c r="DK147" s="3">
        <v>40</v>
      </c>
      <c r="DL147" s="3">
        <v>45</v>
      </c>
      <c r="DM147" s="3">
        <v>48</v>
      </c>
      <c r="DN147" s="3">
        <v>48</v>
      </c>
      <c r="DO147" s="3">
        <v>0</v>
      </c>
      <c r="DP147" s="20">
        <v>0</v>
      </c>
      <c r="DQ147" s="9">
        <v>31.3</v>
      </c>
      <c r="DR147" s="3">
        <v>29</v>
      </c>
      <c r="DS147" s="3">
        <v>32</v>
      </c>
      <c r="DT147" s="3">
        <v>27</v>
      </c>
      <c r="DU147" s="3">
        <v>27</v>
      </c>
      <c r="DV147" s="3">
        <v>13</v>
      </c>
      <c r="DW147" s="3">
        <v>26</v>
      </c>
      <c r="DX147" s="3">
        <v>28</v>
      </c>
      <c r="DY147" s="3">
        <v>31</v>
      </c>
      <c r="DZ147" s="3">
        <v>31</v>
      </c>
      <c r="EA147" s="3">
        <v>25</v>
      </c>
      <c r="EB147" s="3">
        <v>30</v>
      </c>
      <c r="EC147" s="3">
        <v>14</v>
      </c>
      <c r="ED147" s="9">
        <f t="shared" si="35"/>
        <v>35</v>
      </c>
      <c r="EE147" s="3">
        <v>20</v>
      </c>
      <c r="EF147" s="3">
        <v>32</v>
      </c>
      <c r="EG147" s="3">
        <v>31</v>
      </c>
      <c r="EH147" s="3">
        <v>35</v>
      </c>
      <c r="EI147" s="3">
        <v>28</v>
      </c>
      <c r="EJ147" s="3">
        <v>36</v>
      </c>
      <c r="EK147" s="3">
        <v>39</v>
      </c>
      <c r="EL147" s="3">
        <v>30</v>
      </c>
      <c r="EM147" s="3">
        <v>30</v>
      </c>
      <c r="EN147" s="3">
        <v>34</v>
      </c>
      <c r="EO147" s="3">
        <v>22</v>
      </c>
      <c r="EP147" s="3">
        <v>13</v>
      </c>
      <c r="EQ147" s="9">
        <f t="shared" si="36"/>
        <v>31.74</v>
      </c>
      <c r="ER147" s="3">
        <v>31</v>
      </c>
      <c r="ES147" s="3">
        <v>35</v>
      </c>
      <c r="ET147" s="3">
        <v>35</v>
      </c>
      <c r="EU147" s="3">
        <v>31.6</v>
      </c>
      <c r="EV147" s="3">
        <v>24.6</v>
      </c>
      <c r="EW147" s="3">
        <v>25</v>
      </c>
      <c r="EX147" s="3">
        <v>27.6</v>
      </c>
      <c r="EY147" s="3">
        <v>30.6</v>
      </c>
      <c r="EZ147" s="3">
        <v>15</v>
      </c>
      <c r="FA147" s="3">
        <v>29</v>
      </c>
      <c r="FB147" s="3">
        <v>20</v>
      </c>
      <c r="FC147" s="3">
        <v>13</v>
      </c>
      <c r="FD147" s="69">
        <f t="shared" si="29"/>
        <v>50.3</v>
      </c>
      <c r="FE147" s="3">
        <v>44</v>
      </c>
      <c r="FF147" s="3">
        <v>43</v>
      </c>
      <c r="FG147" s="3">
        <v>46</v>
      </c>
      <c r="FH147" s="3">
        <v>51</v>
      </c>
      <c r="FI147" s="3">
        <v>46</v>
      </c>
      <c r="FJ147" s="3">
        <v>51</v>
      </c>
      <c r="FK147" s="3">
        <v>49.2</v>
      </c>
      <c r="FL147" s="3">
        <v>43.2</v>
      </c>
      <c r="FM147" s="3">
        <v>41.6</v>
      </c>
      <c r="FN147" s="3">
        <v>39</v>
      </c>
      <c r="FO147" s="3">
        <v>29</v>
      </c>
      <c r="FP147" s="3">
        <v>20</v>
      </c>
      <c r="FQ147" s="16">
        <v>52</v>
      </c>
      <c r="FR147" s="102"/>
      <c r="GA147" s="34"/>
    </row>
    <row r="148" spans="1:187" x14ac:dyDescent="0.25">
      <c r="A148" s="6"/>
      <c r="B148" s="25" t="s">
        <v>389</v>
      </c>
      <c r="C148" s="1" t="s">
        <v>390</v>
      </c>
      <c r="D148" s="141">
        <f t="shared" si="31"/>
        <v>6.1524999999999999</v>
      </c>
      <c r="E148" s="141">
        <v>0</v>
      </c>
      <c r="F148" s="141">
        <v>10.31</v>
      </c>
      <c r="G148" s="141">
        <v>7.98</v>
      </c>
      <c r="H148" s="141">
        <v>6.32</v>
      </c>
      <c r="P148" s="77"/>
      <c r="Q148" s="159">
        <f t="shared" si="32"/>
        <v>7.5459999999999994</v>
      </c>
      <c r="R148" s="141">
        <v>0</v>
      </c>
      <c r="S148" s="141">
        <v>6.99</v>
      </c>
      <c r="T148" s="141">
        <v>5.99</v>
      </c>
      <c r="U148" s="141">
        <v>5.66</v>
      </c>
      <c r="V148" s="141">
        <v>10.18</v>
      </c>
      <c r="W148" s="141">
        <v>9.51</v>
      </c>
      <c r="X148" s="141">
        <v>8.51</v>
      </c>
      <c r="Y148" s="141">
        <v>10.64</v>
      </c>
      <c r="Z148" s="141">
        <v>9.32</v>
      </c>
      <c r="AA148" s="141">
        <v>8.66</v>
      </c>
      <c r="AB148" s="141">
        <v>0</v>
      </c>
      <c r="AC148" s="154">
        <v>0</v>
      </c>
      <c r="AD148" s="159">
        <v>6.7469999999999999</v>
      </c>
      <c r="AE148" s="141">
        <v>0</v>
      </c>
      <c r="AF148" s="141">
        <v>8</v>
      </c>
      <c r="AG148" s="141">
        <v>8</v>
      </c>
      <c r="AH148" s="141">
        <v>7</v>
      </c>
      <c r="AI148" s="141">
        <v>8.86</v>
      </c>
      <c r="AJ148" s="141">
        <v>8.86</v>
      </c>
      <c r="AK148" s="141">
        <v>7.52</v>
      </c>
      <c r="AL148" s="141">
        <v>6</v>
      </c>
      <c r="AM148" s="141">
        <v>5.99</v>
      </c>
      <c r="AN148" s="141">
        <v>4.32</v>
      </c>
      <c r="AO148" s="141">
        <v>0</v>
      </c>
      <c r="AP148" s="154">
        <v>2.92</v>
      </c>
      <c r="AQ148" s="9">
        <f t="shared" si="34"/>
        <v>5.1290000000000004</v>
      </c>
      <c r="AR148" s="3">
        <v>0</v>
      </c>
      <c r="AS148" s="3">
        <v>0</v>
      </c>
      <c r="AT148" s="3">
        <v>0</v>
      </c>
      <c r="AU148" s="3">
        <v>0</v>
      </c>
      <c r="AV148" s="3">
        <v>9.32</v>
      </c>
      <c r="AW148" s="3">
        <v>3.23</v>
      </c>
      <c r="AX148" s="3">
        <v>7.99</v>
      </c>
      <c r="AY148" s="3">
        <v>9.1</v>
      </c>
      <c r="AZ148" s="3">
        <v>7.98</v>
      </c>
      <c r="BA148" s="3">
        <v>6.63</v>
      </c>
      <c r="BB148" s="3">
        <v>3.32</v>
      </c>
      <c r="BC148" s="20">
        <v>3.72</v>
      </c>
      <c r="BD148" s="91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20"/>
      <c r="BQ148" s="90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91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90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91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90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89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89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97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91"/>
      <c r="FR148" s="91"/>
      <c r="GA148" s="34"/>
    </row>
    <row r="149" spans="1:187" x14ac:dyDescent="0.25">
      <c r="A149" s="6" t="s">
        <v>160</v>
      </c>
      <c r="B149" s="25" t="s">
        <v>154</v>
      </c>
      <c r="C149" s="1" t="s">
        <v>153</v>
      </c>
      <c r="D149" s="141">
        <f t="shared" si="31"/>
        <v>0</v>
      </c>
      <c r="E149" s="141">
        <v>0</v>
      </c>
      <c r="F149" s="141">
        <v>0</v>
      </c>
      <c r="G149" s="141">
        <v>0</v>
      </c>
      <c r="H149" s="141">
        <v>0</v>
      </c>
      <c r="P149" s="77"/>
      <c r="Q149" s="159">
        <f t="shared" si="32"/>
        <v>0</v>
      </c>
      <c r="R149" s="141">
        <v>0</v>
      </c>
      <c r="S149" s="141">
        <v>0</v>
      </c>
      <c r="T149" s="141">
        <v>0</v>
      </c>
      <c r="U149" s="141">
        <v>0</v>
      </c>
      <c r="V149" s="141">
        <v>0</v>
      </c>
      <c r="W149" s="141">
        <v>0</v>
      </c>
      <c r="X149" s="141">
        <v>0</v>
      </c>
      <c r="Y149" s="141">
        <v>0</v>
      </c>
      <c r="Z149" s="141">
        <v>0</v>
      </c>
      <c r="AA149" s="141">
        <v>0</v>
      </c>
      <c r="AB149" s="141">
        <v>0</v>
      </c>
      <c r="AC149" s="154">
        <v>0</v>
      </c>
      <c r="AD149" s="159">
        <v>0</v>
      </c>
      <c r="AE149" s="141">
        <v>0</v>
      </c>
      <c r="AF149" s="141">
        <v>0</v>
      </c>
      <c r="AG149" s="141">
        <v>0</v>
      </c>
      <c r="AH149" s="141">
        <v>0</v>
      </c>
      <c r="AI149" s="141">
        <v>0</v>
      </c>
      <c r="AJ149" s="141">
        <v>0</v>
      </c>
      <c r="AK149" s="141">
        <v>0</v>
      </c>
      <c r="AL149" s="141">
        <v>0</v>
      </c>
      <c r="AM149" s="141">
        <v>0</v>
      </c>
      <c r="AN149" s="141">
        <v>0</v>
      </c>
      <c r="AO149" s="141">
        <v>0</v>
      </c>
      <c r="AP149" s="154">
        <v>0</v>
      </c>
      <c r="AQ149" s="9">
        <f t="shared" si="34"/>
        <v>35.700000000000003</v>
      </c>
      <c r="AR149" s="3">
        <v>18</v>
      </c>
      <c r="AS149" s="3">
        <v>29</v>
      </c>
      <c r="AT149" s="3">
        <v>37</v>
      </c>
      <c r="AU149" s="3">
        <v>37</v>
      </c>
      <c r="AV149" s="3">
        <v>36</v>
      </c>
      <c r="AW149" s="3">
        <v>35</v>
      </c>
      <c r="AX149" s="3">
        <v>40</v>
      </c>
      <c r="AY149" s="3">
        <v>36</v>
      </c>
      <c r="AZ149" s="3">
        <v>31</v>
      </c>
      <c r="BA149" s="3">
        <v>33</v>
      </c>
      <c r="BB149" s="3">
        <v>16</v>
      </c>
      <c r="BC149" s="20">
        <v>9</v>
      </c>
      <c r="BD149" s="117">
        <v>23.8</v>
      </c>
      <c r="BE149" s="3">
        <v>18</v>
      </c>
      <c r="BF149" s="3">
        <v>18</v>
      </c>
      <c r="BG149" s="3">
        <v>15</v>
      </c>
      <c r="BH149" s="3">
        <v>16</v>
      </c>
      <c r="BI149" s="3">
        <v>17</v>
      </c>
      <c r="BJ149" s="3">
        <v>18</v>
      </c>
      <c r="BK149" s="3">
        <v>20</v>
      </c>
      <c r="BL149" s="3">
        <v>27</v>
      </c>
      <c r="BM149" s="3">
        <v>25</v>
      </c>
      <c r="BN149" s="3">
        <v>35</v>
      </c>
      <c r="BO149" s="3">
        <v>20</v>
      </c>
      <c r="BP149" s="20">
        <v>9</v>
      </c>
      <c r="BQ149" s="65">
        <v>33.200000000000003</v>
      </c>
      <c r="BR149" s="3">
        <v>31</v>
      </c>
      <c r="BS149" s="3">
        <v>28</v>
      </c>
      <c r="BT149" s="3">
        <v>35</v>
      </c>
      <c r="BU149" s="3">
        <v>29</v>
      </c>
      <c r="BV149" s="3">
        <v>33</v>
      </c>
      <c r="BW149" s="3">
        <v>35</v>
      </c>
      <c r="BX149" s="3">
        <v>34</v>
      </c>
      <c r="BY149" s="3">
        <v>33</v>
      </c>
      <c r="BZ149" s="3">
        <v>30</v>
      </c>
      <c r="CA149" s="3">
        <v>29</v>
      </c>
      <c r="CB149" s="3">
        <v>12</v>
      </c>
      <c r="CC149" s="3">
        <v>3</v>
      </c>
      <c r="CD149" s="16">
        <v>37.734999999999999</v>
      </c>
      <c r="CE149" s="3">
        <v>28</v>
      </c>
      <c r="CF149" s="3">
        <v>24</v>
      </c>
      <c r="CG149" s="3">
        <v>34</v>
      </c>
      <c r="CH149" s="3">
        <v>34</v>
      </c>
      <c r="CI149" s="3">
        <v>34</v>
      </c>
      <c r="CJ149" s="3">
        <v>35</v>
      </c>
      <c r="CK149" s="3">
        <v>34</v>
      </c>
      <c r="CL149" s="66">
        <v>35.97</v>
      </c>
      <c r="CM149" s="66">
        <v>44.72</v>
      </c>
      <c r="CN149" s="66">
        <v>46.66</v>
      </c>
      <c r="CO149" s="3">
        <v>14</v>
      </c>
      <c r="CP149" s="20">
        <v>13</v>
      </c>
      <c r="CQ149" s="9">
        <v>40.700000000000003</v>
      </c>
      <c r="CR149" s="3">
        <v>31</v>
      </c>
      <c r="CS149" s="3">
        <v>33</v>
      </c>
      <c r="CT149" s="3">
        <v>38</v>
      </c>
      <c r="CU149" s="3">
        <v>37</v>
      </c>
      <c r="CV149" s="3">
        <v>36</v>
      </c>
      <c r="CW149" s="3">
        <v>38</v>
      </c>
      <c r="CX149" s="3">
        <v>36</v>
      </c>
      <c r="CY149" s="3">
        <v>37</v>
      </c>
      <c r="CZ149" s="3">
        <v>46</v>
      </c>
      <c r="DA149" s="3">
        <v>48</v>
      </c>
      <c r="DB149" s="3">
        <v>10</v>
      </c>
      <c r="DC149" s="3">
        <v>17</v>
      </c>
      <c r="DD149" s="9">
        <v>21</v>
      </c>
      <c r="DE149" s="3">
        <v>8</v>
      </c>
      <c r="DF149" s="3">
        <v>14</v>
      </c>
      <c r="DG149" s="3">
        <v>14</v>
      </c>
      <c r="DH149" s="3">
        <v>14</v>
      </c>
      <c r="DI149" s="3">
        <v>15</v>
      </c>
      <c r="DJ149" s="3">
        <v>21</v>
      </c>
      <c r="DK149" s="3">
        <v>19</v>
      </c>
      <c r="DL149" s="3">
        <v>21</v>
      </c>
      <c r="DM149" s="3">
        <v>23</v>
      </c>
      <c r="DN149" s="3">
        <v>27</v>
      </c>
      <c r="DO149" s="3">
        <v>24</v>
      </c>
      <c r="DP149" s="20">
        <v>10</v>
      </c>
      <c r="DQ149" s="9">
        <v>7.5</v>
      </c>
      <c r="DR149" s="3">
        <v>2</v>
      </c>
      <c r="DS149" s="3">
        <v>3</v>
      </c>
      <c r="DT149" s="3">
        <v>6</v>
      </c>
      <c r="DU149" s="3">
        <v>6</v>
      </c>
      <c r="DV149" s="3">
        <v>8</v>
      </c>
      <c r="DW149" s="3">
        <v>11</v>
      </c>
      <c r="DX149" s="3">
        <v>5</v>
      </c>
      <c r="DY149" s="3">
        <v>7</v>
      </c>
      <c r="DZ149" s="3">
        <v>10</v>
      </c>
      <c r="EA149" s="3">
        <v>7</v>
      </c>
      <c r="EB149" s="3">
        <v>6</v>
      </c>
      <c r="EC149" s="3">
        <v>4</v>
      </c>
      <c r="ED149" s="9">
        <f t="shared" si="35"/>
        <v>4.8</v>
      </c>
      <c r="EE149" s="3">
        <v>4</v>
      </c>
      <c r="EF149" s="3">
        <v>4</v>
      </c>
      <c r="EG149" s="3">
        <v>4</v>
      </c>
      <c r="EH149" s="3">
        <v>4</v>
      </c>
      <c r="EI149" s="3">
        <v>3</v>
      </c>
      <c r="EJ149" s="3">
        <v>4</v>
      </c>
      <c r="EK149" s="3">
        <v>5</v>
      </c>
      <c r="EL149" s="3">
        <v>6</v>
      </c>
      <c r="EM149" s="3">
        <v>3</v>
      </c>
      <c r="EN149" s="3">
        <v>4</v>
      </c>
      <c r="EO149" s="3">
        <v>5</v>
      </c>
      <c r="EP149" s="3">
        <v>2</v>
      </c>
      <c r="EQ149" s="9">
        <f t="shared" si="36"/>
        <v>3.1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3</v>
      </c>
      <c r="EY149" s="3">
        <v>5</v>
      </c>
      <c r="EZ149" s="3">
        <v>7</v>
      </c>
      <c r="FA149" s="3">
        <v>8</v>
      </c>
      <c r="FB149" s="3">
        <v>5</v>
      </c>
      <c r="FC149" s="3">
        <v>3</v>
      </c>
      <c r="FD149" s="97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102"/>
      <c r="FR149" s="102"/>
      <c r="GA149" s="34"/>
    </row>
    <row r="150" spans="1:187" x14ac:dyDescent="0.25">
      <c r="A150" s="6"/>
      <c r="B150" s="25" t="s">
        <v>392</v>
      </c>
      <c r="C150" s="1" t="s">
        <v>391</v>
      </c>
      <c r="D150" s="141">
        <f t="shared" si="31"/>
        <v>10.75</v>
      </c>
      <c r="E150" s="141">
        <v>13</v>
      </c>
      <c r="F150" s="141">
        <v>11</v>
      </c>
      <c r="G150" s="141">
        <v>11</v>
      </c>
      <c r="H150" s="141">
        <v>8</v>
      </c>
      <c r="P150" s="77"/>
      <c r="Q150" s="159">
        <f t="shared" si="32"/>
        <v>12.8</v>
      </c>
      <c r="R150" s="141">
        <v>12</v>
      </c>
      <c r="S150" s="141">
        <v>14</v>
      </c>
      <c r="T150" s="141">
        <v>14</v>
      </c>
      <c r="U150" s="141">
        <v>12</v>
      </c>
      <c r="V150" s="141">
        <v>12</v>
      </c>
      <c r="W150" s="141">
        <v>16</v>
      </c>
      <c r="X150" s="141">
        <v>11</v>
      </c>
      <c r="Y150" s="141">
        <v>14</v>
      </c>
      <c r="Z150" s="141">
        <v>12</v>
      </c>
      <c r="AA150" s="141">
        <v>11</v>
      </c>
      <c r="AB150" s="141">
        <v>0</v>
      </c>
      <c r="AC150" s="154">
        <v>0</v>
      </c>
      <c r="AD150" s="159">
        <v>17.466000000000001</v>
      </c>
      <c r="AE150" s="141">
        <v>16</v>
      </c>
      <c r="AF150" s="141">
        <v>15</v>
      </c>
      <c r="AG150" s="141">
        <v>15</v>
      </c>
      <c r="AH150" s="141">
        <v>13</v>
      </c>
      <c r="AI150" s="141">
        <v>18</v>
      </c>
      <c r="AJ150" s="141">
        <v>22</v>
      </c>
      <c r="AK150" s="141">
        <v>19</v>
      </c>
      <c r="AL150" s="141">
        <v>18</v>
      </c>
      <c r="AM150" s="141">
        <v>19</v>
      </c>
      <c r="AN150" s="141">
        <v>18</v>
      </c>
      <c r="AO150" s="141">
        <v>1</v>
      </c>
      <c r="AP150" s="154">
        <v>0.66</v>
      </c>
      <c r="AQ150" s="9">
        <f t="shared" si="34"/>
        <v>0.5</v>
      </c>
      <c r="AR150" s="87"/>
      <c r="AS150" s="87"/>
      <c r="AT150" s="87"/>
      <c r="AU150" s="87"/>
      <c r="AV150" s="87"/>
      <c r="AW150" s="87"/>
      <c r="AX150" s="87"/>
      <c r="AY150" s="88"/>
      <c r="AZ150" s="3">
        <v>0</v>
      </c>
      <c r="BA150" s="3">
        <v>5</v>
      </c>
      <c r="BB150" s="3">
        <v>0</v>
      </c>
      <c r="BC150" s="20">
        <v>0</v>
      </c>
      <c r="BD150" s="129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90"/>
      <c r="BQ150" s="113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91"/>
      <c r="CE150" s="87"/>
      <c r="CF150" s="87"/>
      <c r="CG150" s="87"/>
      <c r="CH150" s="87"/>
      <c r="CI150" s="87"/>
      <c r="CJ150" s="87"/>
      <c r="CK150" s="87"/>
      <c r="CL150" s="92"/>
      <c r="CM150" s="92"/>
      <c r="CN150" s="92"/>
      <c r="CO150" s="87"/>
      <c r="CP150" s="90"/>
      <c r="CQ150" s="89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9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90"/>
      <c r="DQ150" s="89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9"/>
      <c r="EE150" s="87"/>
      <c r="EF150" s="87"/>
      <c r="EG150" s="87"/>
      <c r="EH150" s="87"/>
      <c r="EI150" s="87"/>
      <c r="EJ150" s="87"/>
      <c r="EK150" s="87"/>
      <c r="EL150" s="87"/>
      <c r="EM150" s="87"/>
      <c r="EN150" s="87"/>
      <c r="EO150" s="87"/>
      <c r="EP150" s="87"/>
      <c r="EQ150" s="89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97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102"/>
      <c r="FR150" s="102"/>
      <c r="GA150" s="34"/>
    </row>
    <row r="151" spans="1:187" x14ac:dyDescent="0.25">
      <c r="A151" s="6" t="s">
        <v>159</v>
      </c>
      <c r="B151" s="68" t="s">
        <v>39</v>
      </c>
      <c r="C151" s="1" t="s">
        <v>40</v>
      </c>
      <c r="D151" s="141">
        <f t="shared" si="31"/>
        <v>3.25</v>
      </c>
      <c r="E151" s="141">
        <v>3</v>
      </c>
      <c r="F151" s="141">
        <v>3</v>
      </c>
      <c r="G151" s="141">
        <v>4</v>
      </c>
      <c r="H151" s="141">
        <v>3</v>
      </c>
      <c r="P151" s="77"/>
      <c r="Q151" s="159">
        <f t="shared" si="32"/>
        <v>4.5</v>
      </c>
      <c r="R151" s="141">
        <v>0</v>
      </c>
      <c r="S151" s="141">
        <v>5</v>
      </c>
      <c r="T151" s="141">
        <v>4</v>
      </c>
      <c r="U151" s="141">
        <v>7</v>
      </c>
      <c r="V151" s="141">
        <v>6</v>
      </c>
      <c r="W151" s="141">
        <v>5</v>
      </c>
      <c r="X151" s="141">
        <v>6</v>
      </c>
      <c r="Y151" s="141">
        <v>5</v>
      </c>
      <c r="Z151" s="141">
        <v>4</v>
      </c>
      <c r="AA151" s="141">
        <v>3</v>
      </c>
      <c r="AB151" s="141">
        <v>0</v>
      </c>
      <c r="AC151" s="154">
        <v>0</v>
      </c>
      <c r="AD151" s="159">
        <v>0.3</v>
      </c>
      <c r="AE151" s="141">
        <v>0</v>
      </c>
      <c r="AF151" s="141">
        <v>0</v>
      </c>
      <c r="AG151" s="141">
        <v>1</v>
      </c>
      <c r="AH151" s="141">
        <v>0</v>
      </c>
      <c r="AI151" s="141">
        <v>1</v>
      </c>
      <c r="AJ151" s="141">
        <v>1</v>
      </c>
      <c r="AK151" s="141">
        <v>0</v>
      </c>
      <c r="AL151" s="141">
        <v>0</v>
      </c>
      <c r="AM151" s="141">
        <v>0</v>
      </c>
      <c r="AN151" s="141">
        <v>0</v>
      </c>
      <c r="AO151" s="141">
        <v>0</v>
      </c>
      <c r="AP151" s="154">
        <v>0</v>
      </c>
      <c r="AQ151" s="9">
        <f t="shared" si="34"/>
        <v>0.8</v>
      </c>
      <c r="AR151" s="3">
        <v>1</v>
      </c>
      <c r="AS151" s="3">
        <v>1</v>
      </c>
      <c r="AT151" s="3">
        <v>1</v>
      </c>
      <c r="AU151" s="3">
        <v>1</v>
      </c>
      <c r="AV151" s="3">
        <v>1</v>
      </c>
      <c r="AW151" s="3">
        <v>1</v>
      </c>
      <c r="AX151" s="3">
        <v>1</v>
      </c>
      <c r="AY151" s="3">
        <v>0</v>
      </c>
      <c r="AZ151" s="3">
        <v>0</v>
      </c>
      <c r="BA151" s="3">
        <v>1</v>
      </c>
      <c r="BB151" s="3">
        <v>0</v>
      </c>
      <c r="BC151" s="20">
        <v>0</v>
      </c>
      <c r="BD151" s="117">
        <v>1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4</v>
      </c>
      <c r="BL151" s="3">
        <v>2</v>
      </c>
      <c r="BM151" s="3">
        <v>2</v>
      </c>
      <c r="BN151" s="3">
        <v>2</v>
      </c>
      <c r="BO151" s="3">
        <v>0</v>
      </c>
      <c r="BP151" s="20">
        <v>0</v>
      </c>
      <c r="BQ151" s="65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16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66">
        <v>0</v>
      </c>
      <c r="CM151" s="66">
        <v>0</v>
      </c>
      <c r="CN151" s="66">
        <v>0</v>
      </c>
      <c r="CO151" s="3">
        <v>0</v>
      </c>
      <c r="CP151" s="20">
        <v>0</v>
      </c>
      <c r="CQ151" s="9">
        <v>0.6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1</v>
      </c>
      <c r="CY151" s="3">
        <v>1</v>
      </c>
      <c r="CZ151" s="3">
        <v>1</v>
      </c>
      <c r="DA151" s="3">
        <v>1</v>
      </c>
      <c r="DB151" s="3">
        <v>1</v>
      </c>
      <c r="DC151" s="3">
        <v>1</v>
      </c>
      <c r="DD151" s="9">
        <v>0.9</v>
      </c>
      <c r="DE151" s="3">
        <v>1</v>
      </c>
      <c r="DF151" s="3">
        <v>1</v>
      </c>
      <c r="DG151" s="3">
        <v>1</v>
      </c>
      <c r="DH151" s="3">
        <v>1</v>
      </c>
      <c r="DI151" s="3">
        <v>1</v>
      </c>
      <c r="DJ151" s="3">
        <v>1</v>
      </c>
      <c r="DK151" s="3">
        <v>1</v>
      </c>
      <c r="DL151" s="3">
        <v>1</v>
      </c>
      <c r="DM151" s="3">
        <v>1</v>
      </c>
      <c r="DN151" s="3">
        <v>0</v>
      </c>
      <c r="DO151" s="3">
        <v>0</v>
      </c>
      <c r="DP151" s="20">
        <v>0</v>
      </c>
      <c r="DQ151" s="9">
        <v>1.6</v>
      </c>
      <c r="DR151" s="3">
        <v>1</v>
      </c>
      <c r="DS151" s="3">
        <v>0</v>
      </c>
      <c r="DT151" s="3">
        <v>1</v>
      </c>
      <c r="DU151" s="3">
        <v>3</v>
      </c>
      <c r="DV151" s="3">
        <v>1</v>
      </c>
      <c r="DW151" s="3">
        <v>1</v>
      </c>
      <c r="DX151" s="3">
        <v>2</v>
      </c>
      <c r="DY151" s="3">
        <v>1</v>
      </c>
      <c r="DZ151" s="3">
        <v>2</v>
      </c>
      <c r="EA151" s="3">
        <v>1</v>
      </c>
      <c r="EB151" s="3">
        <v>2</v>
      </c>
      <c r="EC151" s="3">
        <v>1</v>
      </c>
      <c r="ED151" s="9">
        <f t="shared" si="35"/>
        <v>0.2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1</v>
      </c>
      <c r="EO151" s="3">
        <v>1</v>
      </c>
      <c r="EP151" s="3">
        <v>0</v>
      </c>
      <c r="EQ151" s="9">
        <f t="shared" si="36"/>
        <v>0.6</v>
      </c>
      <c r="ER151" s="3">
        <v>2</v>
      </c>
      <c r="ES151" s="3">
        <v>2</v>
      </c>
      <c r="ET151" s="3">
        <v>0</v>
      </c>
      <c r="EU151" s="3">
        <v>0</v>
      </c>
      <c r="EV151" s="3">
        <v>0</v>
      </c>
      <c r="EW151" s="3">
        <v>0</v>
      </c>
      <c r="EX151" s="3">
        <v>1</v>
      </c>
      <c r="EY151" s="3">
        <v>1</v>
      </c>
      <c r="EZ151" s="3">
        <v>0</v>
      </c>
      <c r="FA151" s="3">
        <v>0</v>
      </c>
      <c r="FB151" s="3">
        <v>0</v>
      </c>
      <c r="FC151" s="3">
        <v>0</v>
      </c>
      <c r="FD151" s="69">
        <f t="shared" si="29"/>
        <v>0.6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2</v>
      </c>
      <c r="FO151" s="3">
        <v>2</v>
      </c>
      <c r="FP151" s="3">
        <v>2</v>
      </c>
      <c r="FQ151" s="16">
        <v>0</v>
      </c>
      <c r="FR151" s="102"/>
      <c r="GA151" s="34"/>
    </row>
    <row r="152" spans="1:187" x14ac:dyDescent="0.25">
      <c r="A152" s="6"/>
      <c r="B152" s="25" t="s">
        <v>426</v>
      </c>
      <c r="C152" s="1" t="s">
        <v>425</v>
      </c>
      <c r="D152" s="141">
        <f t="shared" si="31"/>
        <v>10.75</v>
      </c>
      <c r="E152" s="141">
        <v>0</v>
      </c>
      <c r="F152" s="141">
        <v>2</v>
      </c>
      <c r="G152" s="141">
        <v>21</v>
      </c>
      <c r="H152" s="141">
        <v>20</v>
      </c>
      <c r="P152" s="77"/>
      <c r="Q152" s="89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90"/>
      <c r="AD152" s="89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90"/>
      <c r="AQ152" s="89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90"/>
      <c r="BD152" s="129"/>
      <c r="BE152" s="87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90"/>
      <c r="BQ152" s="113"/>
      <c r="BR152" s="87"/>
      <c r="BS152" s="87"/>
      <c r="BT152" s="87"/>
      <c r="BU152" s="87"/>
      <c r="BV152" s="87"/>
      <c r="BW152" s="87"/>
      <c r="BX152" s="87"/>
      <c r="BY152" s="87"/>
      <c r="BZ152" s="87"/>
      <c r="CA152" s="87"/>
      <c r="CB152" s="87"/>
      <c r="CC152" s="87"/>
      <c r="CD152" s="91"/>
      <c r="CE152" s="87"/>
      <c r="CF152" s="87"/>
      <c r="CG152" s="87"/>
      <c r="CH152" s="87"/>
      <c r="CI152" s="87"/>
      <c r="CJ152" s="87"/>
      <c r="CK152" s="87"/>
      <c r="CL152" s="92"/>
      <c r="CM152" s="92"/>
      <c r="CN152" s="92"/>
      <c r="CO152" s="87"/>
      <c r="CP152" s="90"/>
      <c r="CQ152" s="89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9"/>
      <c r="DE152" s="87"/>
      <c r="DF152" s="87"/>
      <c r="DG152" s="87"/>
      <c r="DH152" s="87"/>
      <c r="DI152" s="87"/>
      <c r="DJ152" s="87"/>
      <c r="DK152" s="87"/>
      <c r="DL152" s="87"/>
      <c r="DM152" s="87"/>
      <c r="DN152" s="87"/>
      <c r="DO152" s="87"/>
      <c r="DP152" s="90"/>
      <c r="DQ152" s="89"/>
      <c r="DR152" s="87"/>
      <c r="DS152" s="87"/>
      <c r="DT152" s="87"/>
      <c r="DU152" s="87"/>
      <c r="DV152" s="87"/>
      <c r="DW152" s="87"/>
      <c r="DX152" s="87"/>
      <c r="DY152" s="87"/>
      <c r="DZ152" s="87"/>
      <c r="EA152" s="87"/>
      <c r="EB152" s="87"/>
      <c r="EC152" s="87"/>
      <c r="ED152" s="89"/>
      <c r="EE152" s="87"/>
      <c r="EF152" s="87"/>
      <c r="EG152" s="87"/>
      <c r="EH152" s="87"/>
      <c r="EI152" s="87"/>
      <c r="EJ152" s="87"/>
      <c r="EK152" s="87"/>
      <c r="EL152" s="87"/>
      <c r="EM152" s="87"/>
      <c r="EN152" s="87"/>
      <c r="EO152" s="87"/>
      <c r="EP152" s="87"/>
      <c r="EQ152" s="89"/>
      <c r="ER152" s="87"/>
      <c r="ES152" s="87"/>
      <c r="ET152" s="87"/>
      <c r="EU152" s="87"/>
      <c r="EV152" s="87"/>
      <c r="EW152" s="87"/>
      <c r="EX152" s="87"/>
      <c r="EY152" s="87"/>
      <c r="EZ152" s="87"/>
      <c r="FA152" s="87"/>
      <c r="FB152" s="87"/>
      <c r="FC152" s="87"/>
      <c r="FD152" s="97"/>
      <c r="FE152" s="87"/>
      <c r="FF152" s="87"/>
      <c r="FG152" s="87"/>
      <c r="FH152" s="87"/>
      <c r="FI152" s="87"/>
      <c r="FJ152" s="87"/>
      <c r="FK152" s="87"/>
      <c r="FL152" s="87"/>
      <c r="FM152" s="87"/>
      <c r="FN152" s="87"/>
      <c r="FO152" s="87"/>
      <c r="FP152" s="87"/>
      <c r="FQ152" s="91"/>
      <c r="FR152" s="102"/>
      <c r="GA152" s="34"/>
    </row>
    <row r="153" spans="1:187" x14ac:dyDescent="0.25">
      <c r="A153" s="6" t="s">
        <v>126</v>
      </c>
      <c r="B153" s="25" t="s">
        <v>116</v>
      </c>
      <c r="C153" s="1" t="s">
        <v>114</v>
      </c>
      <c r="D153" s="141">
        <f t="shared" si="31"/>
        <v>194.9975</v>
      </c>
      <c r="E153" s="141">
        <v>171.68</v>
      </c>
      <c r="F153" s="141">
        <v>199.23</v>
      </c>
      <c r="G153" s="141">
        <v>221.76</v>
      </c>
      <c r="H153" s="141">
        <v>187.32</v>
      </c>
      <c r="P153" s="77"/>
      <c r="Q153" s="159">
        <f t="shared" ref="Q153:Q167" si="37">SUM(R153:AC153)/10</f>
        <v>208.22499999999999</v>
      </c>
      <c r="R153" s="141">
        <v>159.06</v>
      </c>
      <c r="S153" s="141">
        <v>194.06</v>
      </c>
      <c r="T153" s="141">
        <v>226.14</v>
      </c>
      <c r="U153" s="141">
        <v>213.68</v>
      </c>
      <c r="V153" s="141">
        <v>196.13</v>
      </c>
      <c r="W153" s="141">
        <v>211.43</v>
      </c>
      <c r="X153" s="141">
        <v>206.05</v>
      </c>
      <c r="Y153" s="141">
        <v>195.21</v>
      </c>
      <c r="Z153" s="141">
        <v>182.83</v>
      </c>
      <c r="AA153" s="141">
        <v>188.66</v>
      </c>
      <c r="AB153" s="141">
        <v>57</v>
      </c>
      <c r="AC153" s="154">
        <v>52</v>
      </c>
      <c r="AD153" s="159">
        <v>184.56</v>
      </c>
      <c r="AE153" s="141">
        <v>135</v>
      </c>
      <c r="AF153" s="141">
        <v>139.77000000000001</v>
      </c>
      <c r="AG153" s="141">
        <v>148.44</v>
      </c>
      <c r="AH153" s="141">
        <v>180.87</v>
      </c>
      <c r="AI153" s="141">
        <v>166.04</v>
      </c>
      <c r="AJ153" s="141">
        <v>186.24</v>
      </c>
      <c r="AK153" s="141">
        <v>190.91</v>
      </c>
      <c r="AL153" s="141">
        <v>200.22</v>
      </c>
      <c r="AM153" s="141">
        <v>187.22</v>
      </c>
      <c r="AN153" s="141">
        <v>201.89</v>
      </c>
      <c r="AO153" s="141">
        <v>71</v>
      </c>
      <c r="AP153" s="154">
        <v>38</v>
      </c>
      <c r="AQ153" s="9">
        <f t="shared" si="34"/>
        <v>128.179</v>
      </c>
      <c r="AR153" s="3">
        <v>87.67</v>
      </c>
      <c r="AS153" s="3">
        <v>110.66000000000001</v>
      </c>
      <c r="AT153" s="3">
        <v>119.86000000000001</v>
      </c>
      <c r="AU153" s="3">
        <v>119.86000000000001</v>
      </c>
      <c r="AV153" s="3">
        <v>116.48</v>
      </c>
      <c r="AW153" s="3">
        <v>131.28</v>
      </c>
      <c r="AX153" s="3">
        <v>127.75</v>
      </c>
      <c r="AY153" s="3">
        <v>133.34</v>
      </c>
      <c r="AZ153" s="3">
        <v>130.5</v>
      </c>
      <c r="BA153" s="3">
        <v>143.38999999999999</v>
      </c>
      <c r="BB153" s="3">
        <v>33</v>
      </c>
      <c r="BC153" s="20">
        <v>28</v>
      </c>
      <c r="BD153" s="117">
        <v>108.98399999999999</v>
      </c>
      <c r="BE153" s="3">
        <v>65.67</v>
      </c>
      <c r="BF153" s="3">
        <v>70.67</v>
      </c>
      <c r="BG153" s="3">
        <v>85.67</v>
      </c>
      <c r="BH153" s="3">
        <v>89.339999999999989</v>
      </c>
      <c r="BI153" s="3">
        <v>94.14</v>
      </c>
      <c r="BJ153" s="3">
        <v>94.14</v>
      </c>
      <c r="BK153" s="3">
        <v>123.61</v>
      </c>
      <c r="BL153" s="3">
        <v>136.54000000000002</v>
      </c>
      <c r="BM153" s="3">
        <v>128.53</v>
      </c>
      <c r="BN153" s="3">
        <v>125.53</v>
      </c>
      <c r="BO153" s="3">
        <v>41</v>
      </c>
      <c r="BP153" s="20">
        <v>35</v>
      </c>
      <c r="BQ153" s="65">
        <v>86.088000000000008</v>
      </c>
      <c r="BR153" s="3">
        <v>78.160000000000011</v>
      </c>
      <c r="BS153" s="3">
        <v>69.820000000000007</v>
      </c>
      <c r="BT153" s="3">
        <v>78.490000000000009</v>
      </c>
      <c r="BU153" s="3">
        <v>76.490000000000009</v>
      </c>
      <c r="BV153" s="3">
        <v>70.83</v>
      </c>
      <c r="BW153" s="3">
        <v>76.16</v>
      </c>
      <c r="BX153" s="3">
        <v>87.63</v>
      </c>
      <c r="BY153" s="3">
        <v>96.66</v>
      </c>
      <c r="BZ153" s="3">
        <v>85.99</v>
      </c>
      <c r="CA153" s="3">
        <v>76.989999999999995</v>
      </c>
      <c r="CB153" s="3">
        <v>38.33</v>
      </c>
      <c r="CC153" s="3">
        <v>25.33</v>
      </c>
      <c r="CD153" s="16">
        <v>133.25699999999998</v>
      </c>
      <c r="CE153" s="3">
        <v>108.63</v>
      </c>
      <c r="CF153" s="3">
        <v>136.98000000000002</v>
      </c>
      <c r="CG153" s="3">
        <v>129.98000000000002</v>
      </c>
      <c r="CH153" s="3">
        <v>133.45000000000002</v>
      </c>
      <c r="CI153" s="3">
        <v>121</v>
      </c>
      <c r="CJ153" s="3">
        <v>141.66</v>
      </c>
      <c r="CK153" s="3">
        <v>135.66999999999999</v>
      </c>
      <c r="CL153" s="66">
        <v>129.69</v>
      </c>
      <c r="CM153" s="66">
        <v>128.69999999999999</v>
      </c>
      <c r="CN153" s="66">
        <v>118.13</v>
      </c>
      <c r="CO153" s="3">
        <v>21.34</v>
      </c>
      <c r="CP153" s="20">
        <v>27.34</v>
      </c>
      <c r="CQ153" s="9">
        <v>141.28100000000001</v>
      </c>
      <c r="CR153" s="3">
        <v>114.33</v>
      </c>
      <c r="CS153" s="3">
        <v>137.33000000000001</v>
      </c>
      <c r="CT153" s="3">
        <v>133.04</v>
      </c>
      <c r="CU153" s="3">
        <v>135.17000000000002</v>
      </c>
      <c r="CV153" s="3">
        <v>121.53</v>
      </c>
      <c r="CW153" s="3">
        <v>150.31</v>
      </c>
      <c r="CX153" s="3">
        <v>141.31</v>
      </c>
      <c r="CY153" s="3">
        <v>129.18</v>
      </c>
      <c r="CZ153" s="3">
        <v>128.18</v>
      </c>
      <c r="DA153" s="3">
        <v>117.51</v>
      </c>
      <c r="DB153" s="3">
        <v>52.47</v>
      </c>
      <c r="DC153" s="3">
        <v>52.45</v>
      </c>
      <c r="DD153" s="9">
        <v>135.374</v>
      </c>
      <c r="DE153" s="3">
        <v>101</v>
      </c>
      <c r="DF153" s="3">
        <v>117</v>
      </c>
      <c r="DG153" s="3">
        <v>133</v>
      </c>
      <c r="DH153" s="3">
        <v>121.67</v>
      </c>
      <c r="DI153" s="3">
        <v>97</v>
      </c>
      <c r="DJ153" s="3">
        <v>140</v>
      </c>
      <c r="DK153" s="3">
        <v>158</v>
      </c>
      <c r="DL153" s="3">
        <v>146.96</v>
      </c>
      <c r="DM153" s="3">
        <v>118.80000000000001</v>
      </c>
      <c r="DN153" s="3">
        <v>128.33000000000001</v>
      </c>
      <c r="DO153" s="3">
        <v>45</v>
      </c>
      <c r="DP153" s="20">
        <v>46.98</v>
      </c>
      <c r="DQ153" s="9">
        <v>153.184</v>
      </c>
      <c r="DR153" s="3">
        <v>113.80000000000001</v>
      </c>
      <c r="DS153" s="3">
        <v>133.80000000000001</v>
      </c>
      <c r="DT153" s="3">
        <v>146.80000000000001</v>
      </c>
      <c r="DU153" s="3">
        <v>155.80000000000001</v>
      </c>
      <c r="DV153" s="3">
        <v>142</v>
      </c>
      <c r="DW153" s="3">
        <v>154.66999999999999</v>
      </c>
      <c r="DX153" s="3">
        <v>136.67000000000002</v>
      </c>
      <c r="DY153" s="3">
        <v>143</v>
      </c>
      <c r="DZ153" s="3">
        <v>134.66</v>
      </c>
      <c r="EA153" s="3">
        <v>155.32</v>
      </c>
      <c r="EB153" s="3">
        <v>65.33</v>
      </c>
      <c r="EC153" s="3">
        <v>49.99</v>
      </c>
      <c r="ED153" s="9">
        <f t="shared" si="35"/>
        <v>141.41900000000001</v>
      </c>
      <c r="EE153" s="3">
        <v>108.6</v>
      </c>
      <c r="EF153" s="3">
        <v>128.47</v>
      </c>
      <c r="EG153" s="3">
        <v>144.80000000000001</v>
      </c>
      <c r="EH153" s="3">
        <v>127.72999999999999</v>
      </c>
      <c r="EI153" s="3">
        <v>133.86000000000001</v>
      </c>
      <c r="EJ153" s="3">
        <v>143.71</v>
      </c>
      <c r="EK153" s="3">
        <v>147.07</v>
      </c>
      <c r="EL153" s="3">
        <v>153.52000000000001</v>
      </c>
      <c r="EM153" s="3">
        <v>141.66</v>
      </c>
      <c r="EN153" s="3">
        <v>131.38999999999999</v>
      </c>
      <c r="EO153" s="3">
        <v>25.689999999999998</v>
      </c>
      <c r="EP153" s="3">
        <v>27.689999999999998</v>
      </c>
      <c r="EQ153" s="9">
        <f t="shared" si="36"/>
        <v>130.24799999999999</v>
      </c>
      <c r="ER153" s="3">
        <v>100.6</v>
      </c>
      <c r="ES153" s="3">
        <v>114.92999999999999</v>
      </c>
      <c r="ET153" s="3">
        <v>117.92999999999999</v>
      </c>
      <c r="EU153" s="3">
        <v>116.71</v>
      </c>
      <c r="EV153" s="3">
        <v>122.93</v>
      </c>
      <c r="EW153" s="3">
        <v>138.46</v>
      </c>
      <c r="EX153" s="3">
        <v>131.13</v>
      </c>
      <c r="EY153" s="3">
        <v>142.87</v>
      </c>
      <c r="EZ153" s="3">
        <v>135.4</v>
      </c>
      <c r="FA153" s="3">
        <v>114.25999999999999</v>
      </c>
      <c r="FB153" s="3">
        <v>37.53</v>
      </c>
      <c r="FC153" s="3">
        <v>29.73</v>
      </c>
      <c r="FD153" s="69">
        <f t="shared" si="29"/>
        <v>59.367999999999995</v>
      </c>
      <c r="FE153" s="3"/>
      <c r="FF153" s="3"/>
      <c r="FG153" s="3"/>
      <c r="FH153" s="3"/>
      <c r="FI153" s="3"/>
      <c r="FJ153" s="3">
        <v>88.13</v>
      </c>
      <c r="FK153" s="3">
        <v>94.68</v>
      </c>
      <c r="FL153" s="3">
        <v>122.6</v>
      </c>
      <c r="FM153" s="3">
        <v>114.47</v>
      </c>
      <c r="FN153" s="3">
        <v>103.74</v>
      </c>
      <c r="FO153" s="3">
        <v>40.799999999999997</v>
      </c>
      <c r="FP153" s="3">
        <v>29.259999999999998</v>
      </c>
      <c r="FQ153" s="102"/>
      <c r="FR153" s="102"/>
      <c r="GA153" s="34"/>
    </row>
    <row r="154" spans="1:187" x14ac:dyDescent="0.25">
      <c r="A154" s="6" t="s">
        <v>270</v>
      </c>
      <c r="B154" s="25" t="s">
        <v>284</v>
      </c>
      <c r="C154" s="1" t="s">
        <v>283</v>
      </c>
      <c r="D154" s="141">
        <f t="shared" si="31"/>
        <v>14.672499999999999</v>
      </c>
      <c r="E154" s="141">
        <v>6</v>
      </c>
      <c r="F154" s="141">
        <v>17.45</v>
      </c>
      <c r="G154" s="141">
        <v>19.12</v>
      </c>
      <c r="H154" s="141">
        <v>16.12</v>
      </c>
      <c r="P154" s="77"/>
      <c r="Q154" s="159">
        <f t="shared" si="37"/>
        <v>10.750000000000002</v>
      </c>
      <c r="R154" s="141">
        <v>0</v>
      </c>
      <c r="S154" s="141">
        <v>9.23</v>
      </c>
      <c r="T154" s="141">
        <v>9.1</v>
      </c>
      <c r="U154" s="141">
        <v>7.1000000000000005</v>
      </c>
      <c r="V154" s="141">
        <v>12.96</v>
      </c>
      <c r="W154" s="141">
        <v>12.97</v>
      </c>
      <c r="X154" s="141">
        <v>10.31</v>
      </c>
      <c r="Y154" s="141">
        <v>7.9700000000000006</v>
      </c>
      <c r="Z154" s="141">
        <v>9.84</v>
      </c>
      <c r="AA154" s="141">
        <v>14.84</v>
      </c>
      <c r="AB154" s="141">
        <v>5.92</v>
      </c>
      <c r="AC154" s="154">
        <v>7.26</v>
      </c>
      <c r="AD154" s="159">
        <v>10.727</v>
      </c>
      <c r="AE154" s="141">
        <v>0</v>
      </c>
      <c r="AF154" s="141">
        <v>9.59</v>
      </c>
      <c r="AG154" s="141">
        <v>8.59</v>
      </c>
      <c r="AH154" s="141">
        <v>7.32</v>
      </c>
      <c r="AI154" s="141">
        <v>11.83</v>
      </c>
      <c r="AJ154" s="141">
        <v>13.5</v>
      </c>
      <c r="AK154" s="141">
        <v>10.83</v>
      </c>
      <c r="AL154" s="141">
        <v>14.01</v>
      </c>
      <c r="AM154" s="141">
        <v>14.63</v>
      </c>
      <c r="AN154" s="141">
        <v>12.97</v>
      </c>
      <c r="AO154" s="141">
        <v>4</v>
      </c>
      <c r="AP154" s="154">
        <v>0</v>
      </c>
      <c r="AQ154" s="9">
        <f t="shared" si="34"/>
        <v>19.608000000000001</v>
      </c>
      <c r="AR154" s="3">
        <v>8</v>
      </c>
      <c r="AS154" s="3">
        <v>13</v>
      </c>
      <c r="AT154" s="3">
        <v>16</v>
      </c>
      <c r="AU154" s="3">
        <v>16</v>
      </c>
      <c r="AV154" s="3">
        <v>19.32</v>
      </c>
      <c r="AW154" s="3">
        <v>21.32</v>
      </c>
      <c r="AX154" s="3">
        <v>23.32</v>
      </c>
      <c r="AY154" s="3">
        <v>29.46</v>
      </c>
      <c r="AZ154" s="3">
        <v>29.46</v>
      </c>
      <c r="BA154" s="3">
        <v>17.220000000000002</v>
      </c>
      <c r="BB154" s="3">
        <v>0.99</v>
      </c>
      <c r="BC154" s="20">
        <v>1.99</v>
      </c>
      <c r="BD154" s="117">
        <v>11.2</v>
      </c>
      <c r="BE154" s="3">
        <v>0</v>
      </c>
      <c r="BF154" s="3">
        <v>2</v>
      </c>
      <c r="BG154" s="3">
        <v>8</v>
      </c>
      <c r="BH154" s="3">
        <v>11</v>
      </c>
      <c r="BI154" s="3">
        <v>13</v>
      </c>
      <c r="BJ154" s="3">
        <v>14</v>
      </c>
      <c r="BK154" s="3">
        <v>14</v>
      </c>
      <c r="BL154" s="3">
        <v>16</v>
      </c>
      <c r="BM154" s="3">
        <v>17</v>
      </c>
      <c r="BN154" s="3">
        <v>17</v>
      </c>
      <c r="BO154" s="3">
        <v>0</v>
      </c>
      <c r="BP154" s="20">
        <v>0</v>
      </c>
      <c r="BQ154" s="65">
        <v>6.5</v>
      </c>
      <c r="BR154" s="3">
        <v>1</v>
      </c>
      <c r="BS154" s="3">
        <v>1</v>
      </c>
      <c r="BT154" s="3">
        <v>11</v>
      </c>
      <c r="BU154" s="3">
        <v>8</v>
      </c>
      <c r="BV154" s="3">
        <v>5</v>
      </c>
      <c r="BW154" s="3">
        <v>4</v>
      </c>
      <c r="BX154" s="3">
        <v>9</v>
      </c>
      <c r="BY154" s="3">
        <v>11</v>
      </c>
      <c r="BZ154" s="3">
        <v>8</v>
      </c>
      <c r="CA154" s="3">
        <v>7</v>
      </c>
      <c r="CB154" s="3">
        <v>0</v>
      </c>
      <c r="CC154" s="3">
        <v>0</v>
      </c>
      <c r="CD154" s="16">
        <v>19.785999999999998</v>
      </c>
      <c r="CE154" s="3">
        <v>14</v>
      </c>
      <c r="CF154" s="3">
        <v>26</v>
      </c>
      <c r="CG154" s="3">
        <v>11</v>
      </c>
      <c r="CH154" s="3">
        <v>14</v>
      </c>
      <c r="CI154" s="3">
        <v>14</v>
      </c>
      <c r="CJ154" s="3">
        <v>19</v>
      </c>
      <c r="CK154" s="3">
        <v>18</v>
      </c>
      <c r="CL154" s="66">
        <v>35.08</v>
      </c>
      <c r="CM154" s="66">
        <v>24.85</v>
      </c>
      <c r="CN154" s="66">
        <v>21.93</v>
      </c>
      <c r="CO154" s="3">
        <v>0</v>
      </c>
      <c r="CP154" s="20">
        <v>0</v>
      </c>
      <c r="CQ154" s="9">
        <v>20.2</v>
      </c>
      <c r="CR154" s="3">
        <v>15</v>
      </c>
      <c r="CS154" s="3">
        <v>27</v>
      </c>
      <c r="CT154" s="3">
        <v>26</v>
      </c>
      <c r="CU154" s="3">
        <v>19</v>
      </c>
      <c r="CV154" s="3">
        <v>20</v>
      </c>
      <c r="CW154" s="3">
        <v>26</v>
      </c>
      <c r="CX154" s="3">
        <v>13</v>
      </c>
      <c r="CY154" s="3">
        <v>24</v>
      </c>
      <c r="CZ154" s="3">
        <v>17</v>
      </c>
      <c r="DA154" s="3">
        <v>15</v>
      </c>
      <c r="DB154" s="3">
        <v>0</v>
      </c>
      <c r="DC154" s="3">
        <v>0</v>
      </c>
      <c r="DD154" s="9">
        <v>13.7</v>
      </c>
      <c r="DE154" s="3">
        <v>0</v>
      </c>
      <c r="DF154" s="3">
        <v>2</v>
      </c>
      <c r="DG154" s="3">
        <v>6</v>
      </c>
      <c r="DH154" s="3">
        <v>13</v>
      </c>
      <c r="DI154" s="3">
        <v>13</v>
      </c>
      <c r="DJ154" s="3">
        <v>17</v>
      </c>
      <c r="DK154" s="3">
        <v>21</v>
      </c>
      <c r="DL154" s="3">
        <v>26</v>
      </c>
      <c r="DM154" s="3">
        <v>20</v>
      </c>
      <c r="DN154" s="3">
        <v>19</v>
      </c>
      <c r="DO154" s="3">
        <v>0</v>
      </c>
      <c r="DP154" s="20">
        <v>0</v>
      </c>
      <c r="DQ154" s="89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89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89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97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102"/>
      <c r="FR154" s="102"/>
      <c r="GA154" s="34"/>
    </row>
    <row r="155" spans="1:187" x14ac:dyDescent="0.25">
      <c r="A155" s="6" t="s">
        <v>295</v>
      </c>
      <c r="B155" s="25" t="s">
        <v>299</v>
      </c>
      <c r="C155" s="1" t="s">
        <v>300</v>
      </c>
      <c r="D155" s="141">
        <f t="shared" si="31"/>
        <v>0</v>
      </c>
      <c r="E155" s="141">
        <v>0</v>
      </c>
      <c r="F155" s="141">
        <v>0</v>
      </c>
      <c r="G155" s="141">
        <v>0</v>
      </c>
      <c r="H155" s="141">
        <v>0</v>
      </c>
      <c r="P155" s="77"/>
      <c r="Q155" s="159">
        <f t="shared" si="37"/>
        <v>4.4000000000000004</v>
      </c>
      <c r="R155" s="141">
        <v>5</v>
      </c>
      <c r="S155" s="141">
        <v>6</v>
      </c>
      <c r="T155" s="141">
        <v>6</v>
      </c>
      <c r="U155" s="141">
        <v>7</v>
      </c>
      <c r="V155" s="141">
        <v>7</v>
      </c>
      <c r="W155" s="141">
        <v>6</v>
      </c>
      <c r="X155" s="141">
        <v>3</v>
      </c>
      <c r="Y155" s="141">
        <v>3</v>
      </c>
      <c r="Z155" s="141">
        <v>1</v>
      </c>
      <c r="AA155" s="141">
        <v>0</v>
      </c>
      <c r="AB155" s="141">
        <v>0</v>
      </c>
      <c r="AC155" s="154">
        <v>0</v>
      </c>
      <c r="AD155" s="159">
        <v>3</v>
      </c>
      <c r="AE155" s="141">
        <v>3</v>
      </c>
      <c r="AF155" s="141">
        <v>3</v>
      </c>
      <c r="AG155" s="141">
        <v>4</v>
      </c>
      <c r="AH155" s="141">
        <v>3</v>
      </c>
      <c r="AI155" s="141">
        <v>2</v>
      </c>
      <c r="AJ155" s="141">
        <v>1</v>
      </c>
      <c r="AK155" s="141">
        <v>2</v>
      </c>
      <c r="AL155" s="141">
        <v>2</v>
      </c>
      <c r="AM155" s="141">
        <v>3</v>
      </c>
      <c r="AN155" s="141">
        <v>3</v>
      </c>
      <c r="AO155" s="141">
        <v>1</v>
      </c>
      <c r="AP155" s="154">
        <v>3</v>
      </c>
      <c r="AQ155" s="9">
        <f t="shared" si="34"/>
        <v>14.2</v>
      </c>
      <c r="AR155" s="3">
        <v>14</v>
      </c>
      <c r="AS155" s="3">
        <v>14</v>
      </c>
      <c r="AT155" s="3">
        <v>20</v>
      </c>
      <c r="AU155" s="3">
        <v>16</v>
      </c>
      <c r="AV155" s="3">
        <v>15</v>
      </c>
      <c r="AW155" s="3">
        <v>13</v>
      </c>
      <c r="AX155" s="3">
        <v>13</v>
      </c>
      <c r="AY155" s="3">
        <v>13</v>
      </c>
      <c r="AZ155" s="3">
        <v>10</v>
      </c>
      <c r="BA155" s="3">
        <v>8</v>
      </c>
      <c r="BB155" s="3">
        <v>3</v>
      </c>
      <c r="BC155" s="20">
        <v>3</v>
      </c>
      <c r="BD155" s="117">
        <v>16.399999999999999</v>
      </c>
      <c r="BE155" s="3">
        <v>15</v>
      </c>
      <c r="BF155" s="3">
        <v>16</v>
      </c>
      <c r="BG155" s="3">
        <v>15</v>
      </c>
      <c r="BH155" s="3">
        <v>13</v>
      </c>
      <c r="BI155" s="3">
        <v>14</v>
      </c>
      <c r="BJ155" s="3">
        <v>13</v>
      </c>
      <c r="BK155" s="3">
        <v>17</v>
      </c>
      <c r="BL155" s="3">
        <v>19</v>
      </c>
      <c r="BM155" s="3">
        <v>20</v>
      </c>
      <c r="BN155" s="3">
        <v>17</v>
      </c>
      <c r="BO155" s="3">
        <v>4</v>
      </c>
      <c r="BP155" s="20">
        <v>1</v>
      </c>
      <c r="BQ155" s="65">
        <v>15.8</v>
      </c>
      <c r="BR155" s="3">
        <v>14</v>
      </c>
      <c r="BS155" s="3">
        <v>13</v>
      </c>
      <c r="BT155" s="3">
        <v>13</v>
      </c>
      <c r="BU155" s="3">
        <v>16</v>
      </c>
      <c r="BV155" s="3">
        <v>14</v>
      </c>
      <c r="BW155" s="3">
        <v>10</v>
      </c>
      <c r="BX155" s="3">
        <v>15</v>
      </c>
      <c r="BY155" s="3">
        <v>17</v>
      </c>
      <c r="BZ155" s="3">
        <v>18</v>
      </c>
      <c r="CA155" s="3">
        <v>20</v>
      </c>
      <c r="CB155" s="3">
        <v>3</v>
      </c>
      <c r="CC155" s="3">
        <v>5</v>
      </c>
      <c r="CD155" s="16">
        <v>21.526999999999997</v>
      </c>
      <c r="CE155" s="3">
        <v>13</v>
      </c>
      <c r="CF155" s="3">
        <v>17</v>
      </c>
      <c r="CG155" s="3">
        <v>17</v>
      </c>
      <c r="CH155" s="3">
        <v>16</v>
      </c>
      <c r="CI155" s="3">
        <v>19</v>
      </c>
      <c r="CJ155" s="3">
        <v>18</v>
      </c>
      <c r="CK155" s="3">
        <v>23</v>
      </c>
      <c r="CL155" s="66">
        <v>23.14</v>
      </c>
      <c r="CM155" s="66">
        <v>30.85</v>
      </c>
      <c r="CN155" s="66">
        <v>28.28</v>
      </c>
      <c r="CO155" s="3">
        <v>7</v>
      </c>
      <c r="CP155" s="20">
        <v>3</v>
      </c>
      <c r="CQ155" s="9">
        <v>10.8</v>
      </c>
      <c r="CR155" s="3">
        <v>8</v>
      </c>
      <c r="CS155" s="3">
        <v>7</v>
      </c>
      <c r="CT155" s="3">
        <v>9</v>
      </c>
      <c r="CU155" s="3">
        <v>7</v>
      </c>
      <c r="CV155" s="3">
        <v>7</v>
      </c>
      <c r="CW155" s="3">
        <v>9</v>
      </c>
      <c r="CX155" s="3">
        <v>7</v>
      </c>
      <c r="CY155" s="3">
        <v>9</v>
      </c>
      <c r="CZ155" s="3">
        <v>12</v>
      </c>
      <c r="DA155" s="3">
        <v>11</v>
      </c>
      <c r="DB155" s="3">
        <v>11</v>
      </c>
      <c r="DC155" s="3">
        <v>11</v>
      </c>
      <c r="DD155" s="9">
        <v>1</v>
      </c>
      <c r="DE155" s="3"/>
      <c r="DF155" s="3"/>
      <c r="DG155" s="3"/>
      <c r="DH155" s="3"/>
      <c r="DI155" s="3"/>
      <c r="DJ155" s="3"/>
      <c r="DK155" s="3"/>
      <c r="DL155" s="3">
        <v>0</v>
      </c>
      <c r="DM155" s="3">
        <v>0</v>
      </c>
      <c r="DN155" s="3">
        <v>4</v>
      </c>
      <c r="DO155" s="3">
        <v>3</v>
      </c>
      <c r="DP155" s="20">
        <v>3</v>
      </c>
      <c r="DQ155" s="89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89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89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97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102"/>
      <c r="FR155" s="102"/>
      <c r="GA155" s="34"/>
    </row>
    <row r="156" spans="1:187" x14ac:dyDescent="0.25">
      <c r="A156" s="6" t="s">
        <v>329</v>
      </c>
      <c r="B156" s="25" t="s">
        <v>345</v>
      </c>
      <c r="C156" s="1" t="s">
        <v>335</v>
      </c>
      <c r="D156" s="141">
        <f t="shared" ref="D156:D187" si="38">SUM(E156:P156)/$E$2</f>
        <v>6.98</v>
      </c>
      <c r="E156" s="141">
        <v>3</v>
      </c>
      <c r="F156" s="141">
        <v>7</v>
      </c>
      <c r="G156" s="141">
        <v>8.9600000000000009</v>
      </c>
      <c r="H156" s="141">
        <v>8.9600000000000009</v>
      </c>
      <c r="P156" s="77"/>
      <c r="Q156" s="159">
        <f t="shared" si="37"/>
        <v>10.66</v>
      </c>
      <c r="R156" s="141">
        <v>4</v>
      </c>
      <c r="S156" s="141">
        <v>8</v>
      </c>
      <c r="T156" s="141">
        <v>9</v>
      </c>
      <c r="U156" s="141">
        <v>8</v>
      </c>
      <c r="V156" s="141">
        <v>10.96</v>
      </c>
      <c r="W156" s="141">
        <v>11.96</v>
      </c>
      <c r="X156" s="141">
        <v>8.9600000000000009</v>
      </c>
      <c r="Y156" s="141">
        <v>10.96</v>
      </c>
      <c r="Z156" s="141">
        <v>10.96</v>
      </c>
      <c r="AA156" s="141">
        <v>9.8800000000000008</v>
      </c>
      <c r="AB156" s="141">
        <v>6.96</v>
      </c>
      <c r="AC156" s="154">
        <v>6.96</v>
      </c>
      <c r="AD156" s="159">
        <v>9</v>
      </c>
      <c r="AE156" s="141">
        <v>0</v>
      </c>
      <c r="AF156" s="141">
        <v>7</v>
      </c>
      <c r="AG156" s="141">
        <v>8</v>
      </c>
      <c r="AH156" s="141">
        <v>10</v>
      </c>
      <c r="AI156" s="141">
        <v>8</v>
      </c>
      <c r="AJ156" s="141">
        <v>9</v>
      </c>
      <c r="AK156" s="141">
        <v>11</v>
      </c>
      <c r="AL156" s="141">
        <v>11</v>
      </c>
      <c r="AM156" s="141">
        <v>10</v>
      </c>
      <c r="AN156" s="141">
        <v>10</v>
      </c>
      <c r="AO156" s="141">
        <v>3</v>
      </c>
      <c r="AP156" s="154">
        <v>3</v>
      </c>
      <c r="AQ156" s="9">
        <f t="shared" si="34"/>
        <v>11</v>
      </c>
      <c r="AR156" s="3">
        <v>11</v>
      </c>
      <c r="AS156" s="3">
        <v>12</v>
      </c>
      <c r="AT156" s="3">
        <v>12</v>
      </c>
      <c r="AU156" s="3">
        <v>11</v>
      </c>
      <c r="AV156" s="3">
        <v>11</v>
      </c>
      <c r="AW156" s="3">
        <v>11</v>
      </c>
      <c r="AX156" s="3">
        <v>10</v>
      </c>
      <c r="AY156" s="3">
        <v>11</v>
      </c>
      <c r="AZ156" s="3">
        <v>9</v>
      </c>
      <c r="BA156" s="3">
        <v>9</v>
      </c>
      <c r="BB156" s="3">
        <v>2</v>
      </c>
      <c r="BC156" s="20">
        <v>1</v>
      </c>
      <c r="BD156" s="117">
        <v>4.3</v>
      </c>
      <c r="BE156" s="3">
        <v>4</v>
      </c>
      <c r="BF156" s="3">
        <v>4</v>
      </c>
      <c r="BG156" s="3">
        <v>4</v>
      </c>
      <c r="BH156" s="3">
        <v>3</v>
      </c>
      <c r="BI156" s="3">
        <v>1</v>
      </c>
      <c r="BJ156" s="3">
        <v>1</v>
      </c>
      <c r="BK156" s="3">
        <v>2</v>
      </c>
      <c r="BL156" s="3">
        <v>5</v>
      </c>
      <c r="BM156" s="3">
        <v>5</v>
      </c>
      <c r="BN156" s="3">
        <v>4</v>
      </c>
      <c r="BO156" s="3">
        <v>5</v>
      </c>
      <c r="BP156" s="20">
        <v>5</v>
      </c>
      <c r="BQ156" s="65">
        <v>10.9</v>
      </c>
      <c r="BR156" s="3">
        <v>9</v>
      </c>
      <c r="BS156" s="3">
        <v>9</v>
      </c>
      <c r="BT156" s="3">
        <v>9</v>
      </c>
      <c r="BU156" s="3">
        <v>12</v>
      </c>
      <c r="BV156" s="3">
        <v>10</v>
      </c>
      <c r="BW156" s="3">
        <v>7</v>
      </c>
      <c r="BX156" s="3">
        <v>8</v>
      </c>
      <c r="BY156" s="3">
        <v>9</v>
      </c>
      <c r="BZ156" s="3">
        <v>9</v>
      </c>
      <c r="CA156" s="3">
        <v>9</v>
      </c>
      <c r="CB156" s="3">
        <v>10</v>
      </c>
      <c r="CC156" s="3">
        <v>8</v>
      </c>
      <c r="CD156" s="16">
        <v>8.0399999999999991</v>
      </c>
      <c r="CE156" s="3">
        <v>0</v>
      </c>
      <c r="CF156" s="3">
        <v>3</v>
      </c>
      <c r="CG156" s="3">
        <v>6</v>
      </c>
      <c r="CH156" s="3">
        <v>6</v>
      </c>
      <c r="CI156" s="3">
        <v>7</v>
      </c>
      <c r="CJ156" s="3">
        <v>11</v>
      </c>
      <c r="CK156" s="3">
        <v>12</v>
      </c>
      <c r="CL156" s="66">
        <v>11.83</v>
      </c>
      <c r="CM156" s="66">
        <v>12.05</v>
      </c>
      <c r="CN156" s="66">
        <v>11.52</v>
      </c>
      <c r="CO156" s="3">
        <v>0</v>
      </c>
      <c r="CP156" s="20">
        <v>0</v>
      </c>
      <c r="CQ156" s="89"/>
      <c r="CR156" s="3"/>
      <c r="CS156" s="3"/>
      <c r="CT156" s="3"/>
      <c r="CU156" s="3"/>
      <c r="CV156" s="3"/>
      <c r="CW156" s="3"/>
      <c r="CX156" s="3"/>
      <c r="CY156" s="3"/>
      <c r="CZ156" s="3"/>
      <c r="DD156" s="89"/>
      <c r="DE156" s="3"/>
      <c r="DF156" s="3"/>
      <c r="DG156" s="3"/>
      <c r="DH156" s="3"/>
      <c r="DI156" s="3"/>
      <c r="DJ156" s="3"/>
      <c r="DK156" s="3"/>
      <c r="DL156" s="3"/>
      <c r="DM156" s="3"/>
      <c r="DQ156" s="89"/>
      <c r="DR156" s="3"/>
      <c r="DS156" s="3"/>
      <c r="DT156" s="3"/>
      <c r="DU156" s="3"/>
      <c r="DV156" s="3"/>
      <c r="DW156" s="3"/>
      <c r="DX156" s="3"/>
      <c r="DY156" s="3"/>
      <c r="DZ156" s="3"/>
      <c r="ED156" s="89"/>
      <c r="EE156" s="3"/>
      <c r="EF156" s="3"/>
      <c r="EG156" s="3"/>
      <c r="EH156" s="3"/>
      <c r="EI156" s="3"/>
      <c r="EJ156" s="3"/>
      <c r="EK156" s="3"/>
      <c r="EL156" s="3"/>
      <c r="EM156" s="3"/>
      <c r="EQ156" s="89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97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102"/>
      <c r="FR156" s="102"/>
      <c r="GA156" s="34"/>
    </row>
    <row r="157" spans="1:187" x14ac:dyDescent="0.25">
      <c r="A157" s="6" t="s">
        <v>88</v>
      </c>
      <c r="B157" s="25" t="s">
        <v>76</v>
      </c>
      <c r="C157" s="1" t="s">
        <v>73</v>
      </c>
      <c r="D157" s="141">
        <f t="shared" si="38"/>
        <v>16</v>
      </c>
      <c r="E157" s="141">
        <v>13</v>
      </c>
      <c r="F157" s="141">
        <v>16</v>
      </c>
      <c r="G157" s="141">
        <v>18</v>
      </c>
      <c r="H157" s="141">
        <v>17</v>
      </c>
      <c r="P157" s="77"/>
      <c r="Q157" s="159">
        <f t="shared" si="37"/>
        <v>16.8</v>
      </c>
      <c r="R157" s="141">
        <v>8</v>
      </c>
      <c r="S157" s="141">
        <v>9</v>
      </c>
      <c r="T157" s="141">
        <v>12</v>
      </c>
      <c r="U157" s="141">
        <v>14</v>
      </c>
      <c r="V157" s="141">
        <v>15</v>
      </c>
      <c r="W157" s="141">
        <v>17</v>
      </c>
      <c r="X157" s="141">
        <v>15</v>
      </c>
      <c r="Y157" s="141">
        <v>18</v>
      </c>
      <c r="Z157" s="141">
        <v>19</v>
      </c>
      <c r="AA157" s="141">
        <v>19</v>
      </c>
      <c r="AB157" s="141">
        <v>11</v>
      </c>
      <c r="AC157" s="154">
        <v>11</v>
      </c>
      <c r="AD157" s="159">
        <v>10.3</v>
      </c>
      <c r="AE157" s="141">
        <v>8</v>
      </c>
      <c r="AF157" s="141">
        <v>6</v>
      </c>
      <c r="AG157" s="141">
        <v>12</v>
      </c>
      <c r="AH157" s="141">
        <v>10</v>
      </c>
      <c r="AI157" s="141">
        <v>12</v>
      </c>
      <c r="AJ157" s="141">
        <v>12</v>
      </c>
      <c r="AK157" s="141">
        <v>11</v>
      </c>
      <c r="AL157" s="141">
        <v>13</v>
      </c>
      <c r="AM157" s="141">
        <v>10</v>
      </c>
      <c r="AN157" s="141">
        <v>9</v>
      </c>
      <c r="AO157" s="141">
        <v>0</v>
      </c>
      <c r="AP157" s="154">
        <v>0</v>
      </c>
      <c r="AQ157" s="9">
        <f t="shared" si="34"/>
        <v>13.1</v>
      </c>
      <c r="AR157" s="3">
        <v>9</v>
      </c>
      <c r="AS157" s="3">
        <v>11</v>
      </c>
      <c r="AT157" s="3">
        <v>9</v>
      </c>
      <c r="AU157" s="3">
        <v>12</v>
      </c>
      <c r="AV157" s="3">
        <v>13</v>
      </c>
      <c r="AW157" s="3">
        <v>15</v>
      </c>
      <c r="AX157" s="3">
        <v>13</v>
      </c>
      <c r="AY157" s="3">
        <v>16</v>
      </c>
      <c r="AZ157" s="3">
        <v>16</v>
      </c>
      <c r="BA157" s="3">
        <v>17</v>
      </c>
      <c r="BB157" s="3">
        <v>0</v>
      </c>
      <c r="BC157" s="20">
        <v>0</v>
      </c>
      <c r="BD157" s="117">
        <v>12.2</v>
      </c>
      <c r="BE157" s="3">
        <v>11</v>
      </c>
      <c r="BF157" s="3">
        <v>12</v>
      </c>
      <c r="BG157" s="3">
        <v>10</v>
      </c>
      <c r="BH157" s="3">
        <v>12</v>
      </c>
      <c r="BI157" s="3">
        <v>10</v>
      </c>
      <c r="BJ157" s="3">
        <v>12</v>
      </c>
      <c r="BK157" s="3">
        <v>13</v>
      </c>
      <c r="BL157" s="3">
        <v>13</v>
      </c>
      <c r="BM157" s="3">
        <v>11</v>
      </c>
      <c r="BN157" s="3">
        <v>11</v>
      </c>
      <c r="BO157" s="3">
        <v>0</v>
      </c>
      <c r="BP157" s="20">
        <v>7</v>
      </c>
      <c r="BQ157" s="65">
        <v>12.9</v>
      </c>
      <c r="BR157" s="3">
        <v>5</v>
      </c>
      <c r="BS157" s="3">
        <v>7</v>
      </c>
      <c r="BT157" s="3">
        <v>5</v>
      </c>
      <c r="BU157" s="3">
        <v>11</v>
      </c>
      <c r="BV157" s="3">
        <v>13</v>
      </c>
      <c r="BW157" s="3">
        <v>14</v>
      </c>
      <c r="BX157" s="3">
        <v>15</v>
      </c>
      <c r="BY157" s="3">
        <v>15</v>
      </c>
      <c r="BZ157" s="3">
        <v>13</v>
      </c>
      <c r="CA157" s="3">
        <v>14</v>
      </c>
      <c r="CB157" s="3">
        <v>8</v>
      </c>
      <c r="CC157" s="3">
        <v>9</v>
      </c>
      <c r="CD157" s="16">
        <v>6.8</v>
      </c>
      <c r="CE157" s="3">
        <v>3</v>
      </c>
      <c r="CF157" s="3">
        <v>5</v>
      </c>
      <c r="CG157" s="3">
        <v>5</v>
      </c>
      <c r="CH157" s="3">
        <v>5</v>
      </c>
      <c r="CI157" s="3">
        <v>5</v>
      </c>
      <c r="CJ157" s="3">
        <v>6</v>
      </c>
      <c r="CK157" s="3">
        <v>8</v>
      </c>
      <c r="CL157" s="66">
        <v>8</v>
      </c>
      <c r="CM157" s="66">
        <v>8</v>
      </c>
      <c r="CN157" s="66">
        <v>8</v>
      </c>
      <c r="CO157" s="3">
        <v>7</v>
      </c>
      <c r="CP157" s="20">
        <v>0</v>
      </c>
      <c r="CQ157" s="9">
        <v>3.5</v>
      </c>
      <c r="CR157" s="3">
        <v>2</v>
      </c>
      <c r="CS157" s="3">
        <v>2</v>
      </c>
      <c r="CT157" s="3">
        <v>4</v>
      </c>
      <c r="CU157" s="3">
        <v>3</v>
      </c>
      <c r="CV157" s="3">
        <v>3</v>
      </c>
      <c r="CW157" s="3">
        <v>3</v>
      </c>
      <c r="CX157" s="3">
        <v>3</v>
      </c>
      <c r="CY157" s="3">
        <v>4</v>
      </c>
      <c r="CZ157" s="3">
        <v>4</v>
      </c>
      <c r="DA157" s="3">
        <v>4</v>
      </c>
      <c r="DB157" s="3">
        <v>2</v>
      </c>
      <c r="DC157" s="3">
        <v>1</v>
      </c>
      <c r="DD157" s="9">
        <v>4.7</v>
      </c>
      <c r="DE157" s="3">
        <v>1</v>
      </c>
      <c r="DF157" s="3">
        <v>3</v>
      </c>
      <c r="DG157" s="3">
        <v>5</v>
      </c>
      <c r="DH157" s="3">
        <v>5</v>
      </c>
      <c r="DI157" s="3">
        <v>4</v>
      </c>
      <c r="DJ157" s="3">
        <v>5</v>
      </c>
      <c r="DK157" s="3">
        <v>4</v>
      </c>
      <c r="DL157" s="3">
        <v>4</v>
      </c>
      <c r="DM157" s="3">
        <v>5</v>
      </c>
      <c r="DN157" s="3">
        <v>4</v>
      </c>
      <c r="DO157" s="3">
        <v>3</v>
      </c>
      <c r="DP157" s="20">
        <v>4</v>
      </c>
      <c r="DQ157" s="9">
        <v>3</v>
      </c>
      <c r="DR157" s="3">
        <v>2</v>
      </c>
      <c r="DS157" s="3">
        <v>2</v>
      </c>
      <c r="DT157" s="3">
        <v>3</v>
      </c>
      <c r="DU157" s="3">
        <v>2</v>
      </c>
      <c r="DV157" s="3">
        <v>2</v>
      </c>
      <c r="DW157" s="3">
        <v>2</v>
      </c>
      <c r="DX157" s="3">
        <v>2</v>
      </c>
      <c r="DY157" s="3">
        <v>4</v>
      </c>
      <c r="DZ157" s="3">
        <v>5</v>
      </c>
      <c r="EA157" s="3">
        <v>2</v>
      </c>
      <c r="EB157" s="3">
        <v>2</v>
      </c>
      <c r="EC157" s="3">
        <v>2</v>
      </c>
      <c r="ED157" s="9">
        <f t="shared" si="35"/>
        <v>4</v>
      </c>
      <c r="EE157" s="3">
        <v>1</v>
      </c>
      <c r="EF157" s="3">
        <v>4</v>
      </c>
      <c r="EG157" s="3">
        <v>3</v>
      </c>
      <c r="EH157" s="3">
        <v>3</v>
      </c>
      <c r="EI157" s="3">
        <v>4</v>
      </c>
      <c r="EJ157" s="3">
        <v>4</v>
      </c>
      <c r="EK157" s="3">
        <v>5</v>
      </c>
      <c r="EL157" s="3">
        <v>4</v>
      </c>
      <c r="EM157" s="3">
        <v>4</v>
      </c>
      <c r="EN157" s="3">
        <v>3</v>
      </c>
      <c r="EO157" s="3">
        <v>2</v>
      </c>
      <c r="EP157" s="3">
        <v>3</v>
      </c>
      <c r="EQ157" s="9">
        <f t="shared" si="36"/>
        <v>9.1999999999999993</v>
      </c>
      <c r="ER157" s="3">
        <v>9</v>
      </c>
      <c r="ES157" s="3">
        <v>10</v>
      </c>
      <c r="ET157" s="3">
        <v>12</v>
      </c>
      <c r="EU157" s="3">
        <v>11</v>
      </c>
      <c r="EV157" s="3">
        <v>10</v>
      </c>
      <c r="EW157" s="3">
        <v>9</v>
      </c>
      <c r="EX157" s="3">
        <v>9</v>
      </c>
      <c r="EY157" s="3">
        <v>9</v>
      </c>
      <c r="EZ157" s="3">
        <v>6</v>
      </c>
      <c r="FA157" s="3">
        <v>7</v>
      </c>
      <c r="FB157" s="3">
        <v>0</v>
      </c>
      <c r="FC157" s="3">
        <v>0</v>
      </c>
      <c r="FD157" s="69">
        <f t="shared" si="29"/>
        <v>13.2</v>
      </c>
      <c r="FE157" s="3">
        <v>0</v>
      </c>
      <c r="FF157" s="3">
        <v>9</v>
      </c>
      <c r="FG157" s="3">
        <v>14</v>
      </c>
      <c r="FH157" s="3">
        <v>13</v>
      </c>
      <c r="FI157" s="3">
        <v>15</v>
      </c>
      <c r="FJ157" s="3">
        <v>14</v>
      </c>
      <c r="FK157" s="3">
        <v>12</v>
      </c>
      <c r="FL157" s="3">
        <v>14</v>
      </c>
      <c r="FM157" s="3">
        <v>15</v>
      </c>
      <c r="FN157" s="3">
        <v>14</v>
      </c>
      <c r="FO157" s="3">
        <v>8</v>
      </c>
      <c r="FP157" s="3">
        <v>4</v>
      </c>
      <c r="FQ157" s="102"/>
      <c r="FR157" s="102"/>
      <c r="GA157" s="34"/>
      <c r="GC157"/>
      <c r="GD157"/>
      <c r="GE157"/>
    </row>
    <row r="158" spans="1:187" x14ac:dyDescent="0.25">
      <c r="A158" s="6"/>
      <c r="B158" s="25" t="s">
        <v>384</v>
      </c>
      <c r="C158" s="1" t="s">
        <v>383</v>
      </c>
      <c r="D158" s="141">
        <f t="shared" si="38"/>
        <v>24.25</v>
      </c>
      <c r="E158" s="141">
        <v>20</v>
      </c>
      <c r="F158" s="141">
        <v>23</v>
      </c>
      <c r="G158" s="141">
        <v>27</v>
      </c>
      <c r="H158" s="141">
        <v>27</v>
      </c>
      <c r="P158" s="77"/>
      <c r="Q158" s="159">
        <f t="shared" si="37"/>
        <v>22.5</v>
      </c>
      <c r="R158" s="141">
        <v>10</v>
      </c>
      <c r="S158" s="141">
        <v>13</v>
      </c>
      <c r="T158" s="141">
        <v>17</v>
      </c>
      <c r="U158" s="141">
        <v>17</v>
      </c>
      <c r="V158" s="141">
        <v>22</v>
      </c>
      <c r="W158" s="141">
        <v>24</v>
      </c>
      <c r="X158" s="141">
        <v>25</v>
      </c>
      <c r="Y158" s="141">
        <v>25</v>
      </c>
      <c r="Z158" s="141">
        <v>25</v>
      </c>
      <c r="AA158" s="141">
        <v>24</v>
      </c>
      <c r="AB158" s="141">
        <v>15</v>
      </c>
      <c r="AC158" s="154">
        <v>8</v>
      </c>
      <c r="AD158" s="159">
        <v>17.100000000000001</v>
      </c>
      <c r="AE158" s="141">
        <v>11</v>
      </c>
      <c r="AF158" s="141">
        <v>9</v>
      </c>
      <c r="AG158" s="141">
        <v>14</v>
      </c>
      <c r="AH158" s="141">
        <v>16</v>
      </c>
      <c r="AI158" s="141">
        <v>17</v>
      </c>
      <c r="AJ158" s="141">
        <v>17</v>
      </c>
      <c r="AK158" s="141">
        <v>14</v>
      </c>
      <c r="AL158" s="141">
        <v>20</v>
      </c>
      <c r="AM158" s="141">
        <v>22</v>
      </c>
      <c r="AN158" s="141">
        <v>18</v>
      </c>
      <c r="AO158" s="141">
        <v>8</v>
      </c>
      <c r="AP158" s="154">
        <v>5</v>
      </c>
      <c r="AQ158" s="9">
        <f t="shared" si="34"/>
        <v>17.5</v>
      </c>
      <c r="AR158" s="3">
        <v>11</v>
      </c>
      <c r="AS158" s="3">
        <v>11</v>
      </c>
      <c r="AT158" s="3">
        <v>11</v>
      </c>
      <c r="AU158" s="3">
        <v>13</v>
      </c>
      <c r="AV158" s="3">
        <v>16</v>
      </c>
      <c r="AW158" s="3">
        <v>19</v>
      </c>
      <c r="AX158" s="3">
        <v>18</v>
      </c>
      <c r="AY158" s="3">
        <v>24</v>
      </c>
      <c r="AZ158" s="3">
        <v>16</v>
      </c>
      <c r="BA158" s="3">
        <v>17</v>
      </c>
      <c r="BB158" s="3">
        <v>12</v>
      </c>
      <c r="BC158" s="20">
        <v>7</v>
      </c>
      <c r="BD158" s="117">
        <v>1.3</v>
      </c>
      <c r="BE158" s="3"/>
      <c r="BF158" s="3"/>
      <c r="BG158" s="3"/>
      <c r="BH158" s="3"/>
      <c r="BI158" s="3"/>
      <c r="BJ158" s="3"/>
      <c r="BK158" s="3"/>
      <c r="BL158" s="3"/>
      <c r="BM158" s="3">
        <v>1</v>
      </c>
      <c r="BN158" s="3">
        <v>9</v>
      </c>
      <c r="BO158" s="3">
        <v>3</v>
      </c>
      <c r="BP158" s="20">
        <v>0</v>
      </c>
      <c r="BQ158" s="11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91"/>
      <c r="CE158" s="3"/>
      <c r="CF158" s="3"/>
      <c r="CG158" s="3"/>
      <c r="CH158" s="3"/>
      <c r="CI158" s="3"/>
      <c r="CJ158" s="3"/>
      <c r="CK158" s="3"/>
      <c r="CL158" s="66"/>
      <c r="CM158" s="66"/>
      <c r="CN158" s="66"/>
      <c r="CO158" s="3"/>
      <c r="CP158" s="20"/>
      <c r="CQ158" s="89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89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20"/>
      <c r="DQ158" s="89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89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89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97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102"/>
      <c r="FR158" s="102"/>
      <c r="GA158" s="34"/>
      <c r="GC158"/>
      <c r="GD158"/>
      <c r="GE158"/>
    </row>
    <row r="159" spans="1:187" x14ac:dyDescent="0.25">
      <c r="A159" s="11" t="s">
        <v>160</v>
      </c>
      <c r="B159" s="26" t="s">
        <v>146</v>
      </c>
      <c r="C159" s="7" t="s">
        <v>147</v>
      </c>
      <c r="D159" s="142">
        <f t="shared" si="38"/>
        <v>3</v>
      </c>
      <c r="E159" s="142">
        <v>3</v>
      </c>
      <c r="F159" s="142">
        <v>3</v>
      </c>
      <c r="G159" s="142">
        <v>3</v>
      </c>
      <c r="H159" s="142">
        <v>3</v>
      </c>
      <c r="I159" s="7"/>
      <c r="J159" s="7"/>
      <c r="K159" s="7"/>
      <c r="L159" s="7"/>
      <c r="M159" s="7"/>
      <c r="N159" s="7"/>
      <c r="O159" s="7"/>
      <c r="P159" s="179"/>
      <c r="Q159" s="160">
        <f t="shared" si="37"/>
        <v>3.5</v>
      </c>
      <c r="R159" s="142">
        <v>5</v>
      </c>
      <c r="S159" s="142">
        <v>4</v>
      </c>
      <c r="T159" s="142">
        <v>3</v>
      </c>
      <c r="U159" s="142">
        <v>3</v>
      </c>
      <c r="V159" s="142">
        <v>4</v>
      </c>
      <c r="W159" s="142">
        <v>3</v>
      </c>
      <c r="X159" s="142">
        <v>3</v>
      </c>
      <c r="Y159" s="142">
        <v>3</v>
      </c>
      <c r="Z159" s="142">
        <v>4</v>
      </c>
      <c r="AA159" s="142">
        <v>3</v>
      </c>
      <c r="AB159" s="142">
        <v>0</v>
      </c>
      <c r="AC159" s="155">
        <v>0</v>
      </c>
      <c r="AD159" s="160">
        <v>3.4</v>
      </c>
      <c r="AE159" s="142">
        <v>1</v>
      </c>
      <c r="AF159" s="142">
        <v>2</v>
      </c>
      <c r="AG159" s="142">
        <v>3</v>
      </c>
      <c r="AH159" s="142">
        <v>3</v>
      </c>
      <c r="AI159" s="142">
        <v>3</v>
      </c>
      <c r="AJ159" s="142">
        <v>4</v>
      </c>
      <c r="AK159" s="142">
        <v>4</v>
      </c>
      <c r="AL159" s="142">
        <v>4</v>
      </c>
      <c r="AM159" s="142">
        <v>5</v>
      </c>
      <c r="AN159" s="142">
        <v>5</v>
      </c>
      <c r="AO159" s="142">
        <v>0</v>
      </c>
      <c r="AP159" s="155">
        <v>0</v>
      </c>
      <c r="AQ159" s="10">
        <f t="shared" si="34"/>
        <v>4.5</v>
      </c>
      <c r="AR159" s="15">
        <v>2</v>
      </c>
      <c r="AS159" s="15">
        <v>3</v>
      </c>
      <c r="AT159" s="15">
        <v>4</v>
      </c>
      <c r="AU159" s="15">
        <v>5</v>
      </c>
      <c r="AV159" s="15">
        <v>5</v>
      </c>
      <c r="AW159" s="15">
        <v>6</v>
      </c>
      <c r="AX159" s="15">
        <v>6</v>
      </c>
      <c r="AY159" s="15">
        <v>6</v>
      </c>
      <c r="AZ159" s="15">
        <v>5</v>
      </c>
      <c r="BA159" s="15">
        <v>3</v>
      </c>
      <c r="BB159" s="15">
        <v>0</v>
      </c>
      <c r="BC159" s="21">
        <v>0</v>
      </c>
      <c r="BD159" s="118">
        <v>4</v>
      </c>
      <c r="BE159" s="15">
        <v>4</v>
      </c>
      <c r="BF159" s="15">
        <v>3</v>
      </c>
      <c r="BG159" s="15">
        <v>4</v>
      </c>
      <c r="BH159" s="15">
        <v>4</v>
      </c>
      <c r="BI159" s="15">
        <v>5</v>
      </c>
      <c r="BJ159" s="15">
        <v>5</v>
      </c>
      <c r="BK159" s="15">
        <v>4</v>
      </c>
      <c r="BL159" s="15">
        <v>5</v>
      </c>
      <c r="BM159" s="15">
        <v>4</v>
      </c>
      <c r="BN159" s="15">
        <v>2</v>
      </c>
      <c r="BO159" s="15">
        <v>0</v>
      </c>
      <c r="BP159" s="21">
        <v>0</v>
      </c>
      <c r="BQ159" s="73">
        <v>13.3</v>
      </c>
      <c r="BR159" s="15">
        <v>14</v>
      </c>
      <c r="BS159" s="15">
        <v>17</v>
      </c>
      <c r="BT159" s="15">
        <v>17</v>
      </c>
      <c r="BU159" s="15">
        <v>15</v>
      </c>
      <c r="BV159" s="15">
        <v>12</v>
      </c>
      <c r="BW159" s="15">
        <v>13</v>
      </c>
      <c r="BX159" s="15">
        <v>14</v>
      </c>
      <c r="BY159" s="15">
        <v>13</v>
      </c>
      <c r="BZ159" s="15">
        <v>9</v>
      </c>
      <c r="CA159" s="15">
        <v>9</v>
      </c>
      <c r="CB159" s="15">
        <v>0</v>
      </c>
      <c r="CC159" s="15">
        <v>0</v>
      </c>
      <c r="CD159" s="18">
        <v>21.384999999999998</v>
      </c>
      <c r="CE159" s="15">
        <v>12</v>
      </c>
      <c r="CF159" s="15">
        <v>14</v>
      </c>
      <c r="CG159" s="15">
        <v>22</v>
      </c>
      <c r="CH159" s="15">
        <v>22</v>
      </c>
      <c r="CI159" s="15">
        <v>23</v>
      </c>
      <c r="CJ159" s="15">
        <v>22</v>
      </c>
      <c r="CK159" s="15">
        <v>25</v>
      </c>
      <c r="CL159" s="74">
        <v>25.14</v>
      </c>
      <c r="CM159" s="74">
        <v>23.57</v>
      </c>
      <c r="CN159" s="74">
        <v>25.14</v>
      </c>
      <c r="CO159" s="15">
        <v>0</v>
      </c>
      <c r="CP159" s="21">
        <v>0</v>
      </c>
      <c r="CQ159" s="10">
        <v>14.7</v>
      </c>
      <c r="CR159" s="15">
        <v>9</v>
      </c>
      <c r="CS159" s="15">
        <v>17</v>
      </c>
      <c r="CT159" s="15">
        <v>16</v>
      </c>
      <c r="CU159" s="15">
        <v>7</v>
      </c>
      <c r="CV159" s="15">
        <v>19</v>
      </c>
      <c r="CW159" s="15">
        <v>18</v>
      </c>
      <c r="CX159" s="15">
        <v>14</v>
      </c>
      <c r="CY159" s="15">
        <v>16</v>
      </c>
      <c r="CZ159" s="15">
        <v>15</v>
      </c>
      <c r="DA159" s="15">
        <v>16</v>
      </c>
      <c r="DB159" s="15">
        <v>0</v>
      </c>
      <c r="DC159" s="15">
        <v>0</v>
      </c>
      <c r="DD159" s="10">
        <v>5.9</v>
      </c>
      <c r="DE159" s="15">
        <v>4</v>
      </c>
      <c r="DF159" s="15">
        <v>4</v>
      </c>
      <c r="DG159" s="15">
        <v>3</v>
      </c>
      <c r="DH159" s="15">
        <v>4</v>
      </c>
      <c r="DI159" s="15">
        <v>5</v>
      </c>
      <c r="DJ159" s="15">
        <v>6</v>
      </c>
      <c r="DK159" s="15">
        <v>8</v>
      </c>
      <c r="DL159" s="15">
        <v>10</v>
      </c>
      <c r="DM159" s="15">
        <v>7</v>
      </c>
      <c r="DN159" s="15">
        <v>8</v>
      </c>
      <c r="DO159" s="15">
        <v>0</v>
      </c>
      <c r="DP159" s="21">
        <v>0</v>
      </c>
      <c r="DQ159" s="10">
        <v>5.7</v>
      </c>
      <c r="DR159" s="15">
        <v>5</v>
      </c>
      <c r="DS159" s="15">
        <v>5</v>
      </c>
      <c r="DT159" s="15">
        <v>8</v>
      </c>
      <c r="DU159" s="15">
        <v>7</v>
      </c>
      <c r="DV159" s="15">
        <v>5</v>
      </c>
      <c r="DW159" s="15">
        <v>3</v>
      </c>
      <c r="DX159" s="15">
        <v>7</v>
      </c>
      <c r="DY159" s="15">
        <v>5</v>
      </c>
      <c r="DZ159" s="15">
        <v>7</v>
      </c>
      <c r="EA159" s="15">
        <v>5</v>
      </c>
      <c r="EB159" s="15">
        <v>0</v>
      </c>
      <c r="EC159" s="15">
        <v>0</v>
      </c>
      <c r="ED159" s="10">
        <f t="shared" si="35"/>
        <v>5.4</v>
      </c>
      <c r="EE159" s="15">
        <v>1</v>
      </c>
      <c r="EF159" s="15">
        <v>3</v>
      </c>
      <c r="EG159" s="15">
        <v>5</v>
      </c>
      <c r="EH159" s="15">
        <v>4</v>
      </c>
      <c r="EI159" s="15">
        <v>6</v>
      </c>
      <c r="EJ159" s="15">
        <v>4</v>
      </c>
      <c r="EK159" s="15">
        <v>6</v>
      </c>
      <c r="EL159" s="15">
        <v>8</v>
      </c>
      <c r="EM159" s="15">
        <v>8</v>
      </c>
      <c r="EN159" s="15">
        <v>5</v>
      </c>
      <c r="EO159" s="15">
        <v>3</v>
      </c>
      <c r="EP159" s="15">
        <v>1</v>
      </c>
      <c r="EQ159" s="10">
        <f t="shared" si="36"/>
        <v>0</v>
      </c>
      <c r="ER159" s="15">
        <v>0</v>
      </c>
      <c r="ES159" s="15">
        <v>0</v>
      </c>
      <c r="ET159" s="15">
        <v>0</v>
      </c>
      <c r="EU159" s="15">
        <v>0</v>
      </c>
      <c r="EV159" s="15">
        <v>0</v>
      </c>
      <c r="EW159" s="15">
        <v>0</v>
      </c>
      <c r="EX159" s="15">
        <v>0</v>
      </c>
      <c r="EY159" s="15">
        <v>0</v>
      </c>
      <c r="EZ159" s="15">
        <v>0</v>
      </c>
      <c r="FA159" s="15">
        <v>0</v>
      </c>
      <c r="FB159" s="15">
        <v>0</v>
      </c>
      <c r="FC159" s="15">
        <v>0</v>
      </c>
      <c r="FD159" s="106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03"/>
      <c r="FR159" s="103"/>
      <c r="GA159" s="34"/>
      <c r="GC159"/>
      <c r="GD159"/>
      <c r="GE159"/>
    </row>
    <row r="160" spans="1:187" x14ac:dyDescent="0.25">
      <c r="A160" s="6" t="s">
        <v>87</v>
      </c>
      <c r="B160" s="68" t="s">
        <v>58</v>
      </c>
      <c r="C160" s="1" t="s">
        <v>66</v>
      </c>
      <c r="D160" s="141">
        <f t="shared" si="38"/>
        <v>385.11999999999995</v>
      </c>
      <c r="E160" s="141">
        <v>355.46999999999997</v>
      </c>
      <c r="F160" s="141">
        <v>385.87</v>
      </c>
      <c r="G160" s="141">
        <v>404.31</v>
      </c>
      <c r="H160" s="141">
        <v>394.83</v>
      </c>
      <c r="P160" s="77"/>
      <c r="Q160" s="159">
        <f t="shared" si="37"/>
        <v>378.53800000000001</v>
      </c>
      <c r="R160" s="141">
        <v>332.41999999999996</v>
      </c>
      <c r="S160" s="141">
        <v>359.75</v>
      </c>
      <c r="T160" s="141">
        <v>361.27</v>
      </c>
      <c r="U160" s="141">
        <v>342.84000000000003</v>
      </c>
      <c r="V160" s="141">
        <v>333.85</v>
      </c>
      <c r="W160" s="141">
        <v>356.05</v>
      </c>
      <c r="X160" s="141">
        <v>359.32</v>
      </c>
      <c r="Y160" s="141">
        <v>392.84999999999997</v>
      </c>
      <c r="Z160" s="141">
        <v>393.37</v>
      </c>
      <c r="AA160" s="141">
        <v>382.66</v>
      </c>
      <c r="AB160" s="141">
        <v>88.85</v>
      </c>
      <c r="AC160" s="154">
        <v>82.15</v>
      </c>
      <c r="AD160" s="159">
        <v>334.30799999999994</v>
      </c>
      <c r="AE160" s="141">
        <v>252.29000000000002</v>
      </c>
      <c r="AF160" s="141">
        <v>286.62</v>
      </c>
      <c r="AG160" s="141">
        <v>314.34999999999997</v>
      </c>
      <c r="AH160" s="141">
        <v>301.94</v>
      </c>
      <c r="AI160" s="141">
        <v>298.36</v>
      </c>
      <c r="AJ160" s="141">
        <v>332.16</v>
      </c>
      <c r="AK160" s="141">
        <v>349.88</v>
      </c>
      <c r="AL160" s="141">
        <v>367.76</v>
      </c>
      <c r="AM160" s="141">
        <v>368.1</v>
      </c>
      <c r="AN160" s="141">
        <v>354.37</v>
      </c>
      <c r="AO160" s="141">
        <v>73.209999999999994</v>
      </c>
      <c r="AP160" s="141">
        <v>44.04</v>
      </c>
      <c r="AQ160" s="9">
        <f t="shared" si="34"/>
        <v>291.16100000000006</v>
      </c>
      <c r="AR160" s="3">
        <v>228.04</v>
      </c>
      <c r="AS160" s="3">
        <v>265.94</v>
      </c>
      <c r="AT160" s="3">
        <v>286.64</v>
      </c>
      <c r="AU160" s="3">
        <v>265.36</v>
      </c>
      <c r="AV160" s="3">
        <v>246.15</v>
      </c>
      <c r="AW160" s="3">
        <v>270.79000000000002</v>
      </c>
      <c r="AX160" s="3">
        <v>274.86</v>
      </c>
      <c r="AY160" s="3">
        <v>318.11</v>
      </c>
      <c r="AZ160" s="3">
        <v>312.5</v>
      </c>
      <c r="BA160" s="3">
        <v>312.34000000000003</v>
      </c>
      <c r="BB160" s="3">
        <v>76.3</v>
      </c>
      <c r="BC160" s="3">
        <v>54.58</v>
      </c>
      <c r="BD160" s="117">
        <v>259.50000000000006</v>
      </c>
      <c r="BE160" s="3">
        <v>231.1</v>
      </c>
      <c r="BF160" s="3">
        <v>269.36</v>
      </c>
      <c r="BG160" s="3">
        <v>271.88</v>
      </c>
      <c r="BH160" s="3">
        <v>261.02</v>
      </c>
      <c r="BI160" s="3">
        <v>221.98000000000002</v>
      </c>
      <c r="BJ160" s="3">
        <v>232.84</v>
      </c>
      <c r="BK160" s="3">
        <v>235.75</v>
      </c>
      <c r="BL160" s="3">
        <v>257.34999999999997</v>
      </c>
      <c r="BM160" s="3">
        <v>265.71999999999997</v>
      </c>
      <c r="BN160" s="3">
        <v>267.78000000000003</v>
      </c>
      <c r="BO160" s="3">
        <v>46.11</v>
      </c>
      <c r="BP160" s="20">
        <v>34.11</v>
      </c>
      <c r="BQ160" s="65">
        <v>268.08000000000004</v>
      </c>
      <c r="BR160" s="3">
        <v>260.66999999999996</v>
      </c>
      <c r="BS160" s="3">
        <v>267.33000000000004</v>
      </c>
      <c r="BT160" s="3">
        <v>261.47000000000003</v>
      </c>
      <c r="BU160" s="3">
        <v>249.67</v>
      </c>
      <c r="BV160" s="3">
        <v>239.47</v>
      </c>
      <c r="BW160" s="3">
        <v>234</v>
      </c>
      <c r="BX160" s="3">
        <v>211.19000000000003</v>
      </c>
      <c r="BY160" s="3">
        <v>289.7</v>
      </c>
      <c r="BZ160" s="3">
        <v>269.66000000000003</v>
      </c>
      <c r="CA160" s="3">
        <v>255.53</v>
      </c>
      <c r="CB160" s="3">
        <v>83.99</v>
      </c>
      <c r="CC160" s="3">
        <v>58.120000000000005</v>
      </c>
      <c r="CD160" s="16">
        <v>362.94799999999998</v>
      </c>
      <c r="CE160" s="3">
        <v>322.27</v>
      </c>
      <c r="CF160" s="3">
        <v>348.13</v>
      </c>
      <c r="CG160" s="3">
        <v>368.65999999999997</v>
      </c>
      <c r="CH160" s="3">
        <v>363</v>
      </c>
      <c r="CI160" s="3">
        <v>344.89</v>
      </c>
      <c r="CJ160" s="3">
        <v>353.13</v>
      </c>
      <c r="CK160" s="3">
        <v>327.01</v>
      </c>
      <c r="CL160" s="66">
        <v>377.48</v>
      </c>
      <c r="CM160" s="66">
        <v>369.06</v>
      </c>
      <c r="CN160" s="66">
        <v>329.78000000000003</v>
      </c>
      <c r="CO160" s="3">
        <v>58.870000000000005</v>
      </c>
      <c r="CP160" s="3">
        <v>67.2</v>
      </c>
      <c r="CQ160" s="9">
        <v>349.995</v>
      </c>
      <c r="CR160" s="3">
        <v>350.57</v>
      </c>
      <c r="CS160" s="3">
        <v>362.21</v>
      </c>
      <c r="CT160" s="3">
        <v>352.2</v>
      </c>
      <c r="CU160" s="3">
        <v>334</v>
      </c>
      <c r="CV160" s="3">
        <v>320.85999999999996</v>
      </c>
      <c r="CW160" s="3">
        <v>329.33000000000004</v>
      </c>
      <c r="CX160" s="3">
        <v>324.89</v>
      </c>
      <c r="CY160" s="3">
        <v>348.21</v>
      </c>
      <c r="CZ160" s="3">
        <v>340.85</v>
      </c>
      <c r="DA160" s="3">
        <v>304.86</v>
      </c>
      <c r="DB160" s="3">
        <v>80.709999999999994</v>
      </c>
      <c r="DC160" s="3">
        <v>51.26</v>
      </c>
      <c r="DD160" s="9">
        <v>364.303</v>
      </c>
      <c r="DE160" s="3">
        <v>337.06</v>
      </c>
      <c r="DF160" s="3">
        <v>347.42</v>
      </c>
      <c r="DG160" s="3">
        <v>346.09000000000003</v>
      </c>
      <c r="DH160" s="3">
        <v>342.15</v>
      </c>
      <c r="DI160" s="3">
        <v>348.75</v>
      </c>
      <c r="DJ160" s="3">
        <v>352.76</v>
      </c>
      <c r="DK160" s="3">
        <v>343.71000000000004</v>
      </c>
      <c r="DL160" s="3">
        <v>374.09999999999997</v>
      </c>
      <c r="DM160" s="3">
        <v>362.1</v>
      </c>
      <c r="DN160" s="3">
        <v>342.08</v>
      </c>
      <c r="DO160" s="3">
        <v>80.62</v>
      </c>
      <c r="DP160" s="20">
        <v>66.19</v>
      </c>
      <c r="DQ160" s="9">
        <v>345.54599999999999</v>
      </c>
      <c r="DR160" s="3">
        <v>329.59000000000003</v>
      </c>
      <c r="DS160" s="3">
        <v>357.6</v>
      </c>
      <c r="DT160" s="3">
        <v>353.93</v>
      </c>
      <c r="DU160" s="3">
        <v>350.59</v>
      </c>
      <c r="DV160" s="3">
        <v>331.28000000000003</v>
      </c>
      <c r="DW160" s="3">
        <v>341</v>
      </c>
      <c r="DX160" s="3">
        <v>327.34000000000003</v>
      </c>
      <c r="DY160" s="3">
        <v>337.86</v>
      </c>
      <c r="DZ160" s="3">
        <v>320.69</v>
      </c>
      <c r="EA160" s="3">
        <v>292.92</v>
      </c>
      <c r="EB160" s="3">
        <v>57.66</v>
      </c>
      <c r="EC160" s="3">
        <v>55</v>
      </c>
      <c r="ED160" s="9">
        <f t="shared" si="35"/>
        <v>338.45299999999997</v>
      </c>
      <c r="EE160" s="3">
        <v>287.36</v>
      </c>
      <c r="EF160" s="3">
        <v>340</v>
      </c>
      <c r="EG160" s="3">
        <v>334.63</v>
      </c>
      <c r="EH160" s="3">
        <v>220.47</v>
      </c>
      <c r="EI160" s="3">
        <v>321.39999999999998</v>
      </c>
      <c r="EJ160" s="3">
        <v>359.53</v>
      </c>
      <c r="EK160" s="3">
        <v>349.34000000000003</v>
      </c>
      <c r="EL160" s="3">
        <v>377.67</v>
      </c>
      <c r="EM160" s="3">
        <v>371.87</v>
      </c>
      <c r="EN160" s="3">
        <v>335.47</v>
      </c>
      <c r="EO160" s="3">
        <v>49.06</v>
      </c>
      <c r="EP160" s="3">
        <v>37.729999999999997</v>
      </c>
      <c r="EQ160" s="9">
        <f t="shared" si="36"/>
        <v>383.06399999999996</v>
      </c>
      <c r="ER160" s="3">
        <v>338.72999999999996</v>
      </c>
      <c r="ES160" s="3">
        <v>377.07</v>
      </c>
      <c r="ET160" s="3">
        <v>382.53</v>
      </c>
      <c r="EU160" s="3">
        <v>343</v>
      </c>
      <c r="EV160" s="3">
        <v>403.21</v>
      </c>
      <c r="EW160" s="3">
        <v>408.46999999999997</v>
      </c>
      <c r="EX160" s="3">
        <v>392.59000000000003</v>
      </c>
      <c r="EY160" s="3">
        <v>385.99</v>
      </c>
      <c r="EZ160" s="3">
        <v>374.06</v>
      </c>
      <c r="FA160" s="3">
        <v>323.67</v>
      </c>
      <c r="FB160" s="3">
        <v>57.989999999999995</v>
      </c>
      <c r="FC160" s="3">
        <v>43.33</v>
      </c>
      <c r="FD160" s="69">
        <f t="shared" si="29"/>
        <v>364.084</v>
      </c>
      <c r="FE160" s="3">
        <v>281.79999999999995</v>
      </c>
      <c r="FF160" s="3">
        <v>304.26</v>
      </c>
      <c r="FG160" s="3">
        <v>327.39999999999998</v>
      </c>
      <c r="FH160" s="3">
        <v>315.8</v>
      </c>
      <c r="FI160" s="3">
        <v>315.45999999999998</v>
      </c>
      <c r="FJ160" s="3">
        <v>376.20000000000005</v>
      </c>
      <c r="FK160" s="3">
        <v>385.07000000000005</v>
      </c>
      <c r="FL160" s="3">
        <v>348</v>
      </c>
      <c r="FM160" s="3">
        <v>369.87</v>
      </c>
      <c r="FN160" s="3">
        <v>362.26000000000005</v>
      </c>
      <c r="FO160" s="3">
        <v>144.66</v>
      </c>
      <c r="FP160" s="3">
        <v>110.06</v>
      </c>
      <c r="FQ160" s="102"/>
      <c r="FR160" s="102"/>
      <c r="GA160" s="34"/>
      <c r="GC160"/>
      <c r="GD160"/>
      <c r="GE160"/>
    </row>
    <row r="161" spans="1:187" x14ac:dyDescent="0.25">
      <c r="A161" s="6"/>
      <c r="B161" s="25" t="s">
        <v>321</v>
      </c>
      <c r="C161" s="1" t="s">
        <v>319</v>
      </c>
      <c r="D161" s="141">
        <f t="shared" si="38"/>
        <v>0</v>
      </c>
      <c r="E161" s="141">
        <v>0</v>
      </c>
      <c r="F161" s="141">
        <v>0</v>
      </c>
      <c r="G161" s="141">
        <v>0</v>
      </c>
      <c r="H161" s="141">
        <v>0</v>
      </c>
      <c r="P161" s="77"/>
      <c r="Q161" s="159">
        <f t="shared" si="37"/>
        <v>0</v>
      </c>
      <c r="R161" s="141">
        <v>0</v>
      </c>
      <c r="S161" s="141">
        <v>0</v>
      </c>
      <c r="T161" s="141">
        <v>0</v>
      </c>
      <c r="U161" s="141">
        <v>0</v>
      </c>
      <c r="V161" s="141">
        <v>0</v>
      </c>
      <c r="W161" s="141">
        <v>0</v>
      </c>
      <c r="X161" s="141">
        <v>0</v>
      </c>
      <c r="Y161" s="141">
        <v>0</v>
      </c>
      <c r="Z161" s="141">
        <v>0</v>
      </c>
      <c r="AA161" s="141">
        <v>0</v>
      </c>
      <c r="AB161" s="141">
        <v>0</v>
      </c>
      <c r="AC161" s="154">
        <v>0</v>
      </c>
      <c r="AD161" s="159">
        <v>0.6</v>
      </c>
      <c r="AE161" s="141">
        <v>1</v>
      </c>
      <c r="AF161" s="141">
        <v>1</v>
      </c>
      <c r="AG161" s="141">
        <v>1</v>
      </c>
      <c r="AH161" s="141">
        <v>1</v>
      </c>
      <c r="AI161" s="141">
        <v>0</v>
      </c>
      <c r="AJ161" s="141">
        <v>1</v>
      </c>
      <c r="AK161" s="141">
        <v>1</v>
      </c>
      <c r="AL161" s="141">
        <v>0</v>
      </c>
      <c r="AM161" s="141">
        <v>0</v>
      </c>
      <c r="AN161" s="141">
        <v>0</v>
      </c>
      <c r="AO161" s="141">
        <v>0</v>
      </c>
      <c r="AP161" s="141">
        <v>0</v>
      </c>
      <c r="AQ161" s="9">
        <f t="shared" si="34"/>
        <v>0.9</v>
      </c>
      <c r="AR161" s="3">
        <v>0</v>
      </c>
      <c r="AS161" s="3">
        <v>1</v>
      </c>
      <c r="AT161" s="3">
        <v>1</v>
      </c>
      <c r="AU161" s="3">
        <v>1</v>
      </c>
      <c r="AV161" s="3">
        <v>1</v>
      </c>
      <c r="AW161" s="3">
        <v>1</v>
      </c>
      <c r="AX161" s="3">
        <v>1</v>
      </c>
      <c r="AY161" s="3">
        <v>1</v>
      </c>
      <c r="AZ161" s="3">
        <v>1</v>
      </c>
      <c r="BA161" s="3">
        <v>1</v>
      </c>
      <c r="BB161" s="3">
        <v>0</v>
      </c>
      <c r="BC161" s="3">
        <v>0</v>
      </c>
      <c r="BD161" s="117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20">
        <v>0</v>
      </c>
      <c r="BQ161" s="65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16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66">
        <v>0</v>
      </c>
      <c r="CM161" s="66">
        <v>0</v>
      </c>
      <c r="CN161" s="66">
        <v>0</v>
      </c>
      <c r="CO161" s="3">
        <v>0</v>
      </c>
      <c r="CP161" s="3">
        <v>0</v>
      </c>
      <c r="CQ161" s="9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89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20"/>
      <c r="DQ161" s="89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89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89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97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102"/>
      <c r="FR161" s="102"/>
      <c r="GA161" s="34"/>
      <c r="GC161"/>
      <c r="GD161"/>
      <c r="GE161"/>
    </row>
    <row r="162" spans="1:187" x14ac:dyDescent="0.25">
      <c r="A162" s="6" t="s">
        <v>295</v>
      </c>
      <c r="B162" s="25" t="s">
        <v>298</v>
      </c>
      <c r="C162" s="1" t="s">
        <v>297</v>
      </c>
      <c r="D162" s="141">
        <f t="shared" si="38"/>
        <v>52.727500000000006</v>
      </c>
      <c r="E162" s="141">
        <v>56.88</v>
      </c>
      <c r="F162" s="141">
        <v>55.940000000000005</v>
      </c>
      <c r="G162" s="141">
        <v>53.07</v>
      </c>
      <c r="H162" s="141">
        <v>45.02</v>
      </c>
      <c r="P162" s="77"/>
      <c r="Q162" s="159">
        <f t="shared" si="37"/>
        <v>58.143999999999984</v>
      </c>
      <c r="R162" s="141">
        <v>58.87</v>
      </c>
      <c r="S162" s="141">
        <v>57.93</v>
      </c>
      <c r="T162" s="141">
        <v>59.099999999999994</v>
      </c>
      <c r="U162" s="141">
        <v>51.85</v>
      </c>
      <c r="V162" s="141">
        <v>61.81</v>
      </c>
      <c r="W162" s="141">
        <v>63.260000000000005</v>
      </c>
      <c r="X162" s="141">
        <v>49.4</v>
      </c>
      <c r="Y162" s="141">
        <v>57.36</v>
      </c>
      <c r="Z162" s="141">
        <v>52.320000000000007</v>
      </c>
      <c r="AA162" s="141">
        <v>47.72</v>
      </c>
      <c r="AB162" s="141">
        <v>12.18</v>
      </c>
      <c r="AC162" s="154">
        <v>9.64</v>
      </c>
      <c r="AD162" s="159">
        <v>56.98</v>
      </c>
      <c r="AE162" s="141">
        <v>61.800000000000004</v>
      </c>
      <c r="AF162" s="141">
        <v>51.65</v>
      </c>
      <c r="AG162" s="141">
        <v>59.17</v>
      </c>
      <c r="AH162" s="141">
        <v>57.77</v>
      </c>
      <c r="AI162" s="141">
        <v>58.460000000000008</v>
      </c>
      <c r="AJ162" s="141">
        <v>59.760000000000005</v>
      </c>
      <c r="AK162" s="141">
        <v>57.629999999999995</v>
      </c>
      <c r="AL162" s="141">
        <v>49.22</v>
      </c>
      <c r="AM162" s="141">
        <v>52.63</v>
      </c>
      <c r="AN162" s="141">
        <v>45.62</v>
      </c>
      <c r="AO162" s="141">
        <v>11.79</v>
      </c>
      <c r="AP162" s="141">
        <v>4.3</v>
      </c>
      <c r="AQ162" s="9">
        <f t="shared" si="34"/>
        <v>36.892000000000003</v>
      </c>
      <c r="AR162" s="3">
        <v>30.349999999999998</v>
      </c>
      <c r="AS162" s="3">
        <v>33.81</v>
      </c>
      <c r="AT162" s="3">
        <v>29.35</v>
      </c>
      <c r="AU162" s="3">
        <v>25.02</v>
      </c>
      <c r="AV162" s="3">
        <v>40.97</v>
      </c>
      <c r="AW162" s="3">
        <v>40.489999999999995</v>
      </c>
      <c r="AX162" s="3">
        <v>38.349999999999994</v>
      </c>
      <c r="AY162" s="3">
        <v>44.42</v>
      </c>
      <c r="AZ162" s="3">
        <v>42.29</v>
      </c>
      <c r="BA162" s="3">
        <v>32.5</v>
      </c>
      <c r="BB162" s="3">
        <v>6.79</v>
      </c>
      <c r="BC162" s="3">
        <v>4.58</v>
      </c>
      <c r="BD162" s="117">
        <v>19.391000000000002</v>
      </c>
      <c r="BE162" s="3">
        <v>19.869999999999997</v>
      </c>
      <c r="BF162" s="3">
        <v>20.54</v>
      </c>
      <c r="BG162" s="3">
        <v>14.530000000000001</v>
      </c>
      <c r="BH162" s="3">
        <v>7.6899999999999995</v>
      </c>
      <c r="BI162" s="3">
        <v>16.329999999999998</v>
      </c>
      <c r="BJ162" s="3">
        <v>18.869999999999997</v>
      </c>
      <c r="BK162" s="3">
        <v>17.329999999999998</v>
      </c>
      <c r="BL162" s="3">
        <v>18.010000000000002</v>
      </c>
      <c r="BM162" s="3">
        <v>26.55</v>
      </c>
      <c r="BN162" s="3">
        <v>21.39</v>
      </c>
      <c r="BO162" s="3">
        <v>7.9</v>
      </c>
      <c r="BP162" s="20">
        <v>4.9000000000000004</v>
      </c>
      <c r="BQ162" s="65">
        <v>22.35</v>
      </c>
      <c r="BR162" s="3">
        <v>23.39</v>
      </c>
      <c r="BS162" s="3">
        <v>22.74</v>
      </c>
      <c r="BT162" s="3">
        <v>15.41</v>
      </c>
      <c r="BU162" s="3">
        <v>14.33</v>
      </c>
      <c r="BV162" s="3">
        <v>20.889999999999997</v>
      </c>
      <c r="BW162" s="3">
        <v>15.55</v>
      </c>
      <c r="BX162" s="3">
        <v>16.88</v>
      </c>
      <c r="BY162" s="3">
        <v>25.61</v>
      </c>
      <c r="BZ162" s="3">
        <v>26.87</v>
      </c>
      <c r="CA162" s="3">
        <v>23.200000000000003</v>
      </c>
      <c r="CB162" s="3">
        <v>10.199999999999999</v>
      </c>
      <c r="CC162" s="3">
        <v>8.43</v>
      </c>
      <c r="CD162" s="16">
        <v>38.422000000000004</v>
      </c>
      <c r="CE162" s="3">
        <v>43.379999999999995</v>
      </c>
      <c r="CF162" s="3">
        <v>41.77</v>
      </c>
      <c r="CG162" s="3">
        <v>40.74</v>
      </c>
      <c r="CH162" s="3">
        <v>32.06</v>
      </c>
      <c r="CI162" s="3">
        <v>32.15</v>
      </c>
      <c r="CJ162" s="3">
        <v>30.080000000000002</v>
      </c>
      <c r="CK162" s="3">
        <v>20.059999999999999</v>
      </c>
      <c r="CL162" s="66">
        <v>45.510000000000005</v>
      </c>
      <c r="CM162" s="66">
        <v>48.82</v>
      </c>
      <c r="CN162" s="66">
        <v>35.99</v>
      </c>
      <c r="CO162" s="3">
        <v>7.34</v>
      </c>
      <c r="CP162" s="3">
        <v>6.32</v>
      </c>
      <c r="CQ162" s="9">
        <v>23.506999999999998</v>
      </c>
      <c r="CR162" s="3">
        <v>20.14</v>
      </c>
      <c r="CS162" s="3">
        <v>19.47</v>
      </c>
      <c r="CT162" s="3">
        <v>20.209999999999997</v>
      </c>
      <c r="CU162" s="3">
        <v>15.600000000000001</v>
      </c>
      <c r="CV162" s="3">
        <v>20.48</v>
      </c>
      <c r="CW162" s="3">
        <v>23.48</v>
      </c>
      <c r="CX162" s="3">
        <v>19.399999999999999</v>
      </c>
      <c r="CY162" s="3">
        <v>29.549999999999997</v>
      </c>
      <c r="CZ162" s="3">
        <v>31.869999999999997</v>
      </c>
      <c r="DA162" s="3">
        <v>22.869999999999997</v>
      </c>
      <c r="DB162" s="3">
        <v>7.2</v>
      </c>
      <c r="DC162" s="3">
        <v>4.8</v>
      </c>
      <c r="DD162" s="9">
        <v>2.8940000000000001</v>
      </c>
      <c r="DE162" s="3"/>
      <c r="DF162" s="3"/>
      <c r="DG162" s="3"/>
      <c r="DH162" s="3"/>
      <c r="DI162" s="3"/>
      <c r="DJ162" s="3"/>
      <c r="DK162" s="3"/>
      <c r="DL162" s="3">
        <v>5.2</v>
      </c>
      <c r="DM162" s="3">
        <v>10.879999999999999</v>
      </c>
      <c r="DN162" s="3">
        <v>7.87</v>
      </c>
      <c r="DO162" s="3">
        <v>3.33</v>
      </c>
      <c r="DP162" s="20">
        <v>1.66</v>
      </c>
      <c r="DQ162" s="89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89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89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97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102"/>
      <c r="FR162" s="102"/>
      <c r="GA162" s="34"/>
      <c r="GC162"/>
      <c r="GD162"/>
      <c r="GE162"/>
    </row>
    <row r="163" spans="1:187" x14ac:dyDescent="0.25">
      <c r="A163" s="6" t="s">
        <v>159</v>
      </c>
      <c r="B163" s="68" t="s">
        <v>41</v>
      </c>
      <c r="C163" s="1" t="s">
        <v>42</v>
      </c>
      <c r="D163" s="141">
        <f t="shared" si="38"/>
        <v>3.5</v>
      </c>
      <c r="E163" s="141">
        <v>2</v>
      </c>
      <c r="F163" s="141">
        <v>4</v>
      </c>
      <c r="G163" s="141">
        <v>4</v>
      </c>
      <c r="H163" s="141">
        <v>4</v>
      </c>
      <c r="P163" s="77"/>
      <c r="Q163" s="159">
        <f t="shared" si="37"/>
        <v>2.8</v>
      </c>
      <c r="R163" s="141">
        <v>4</v>
      </c>
      <c r="S163" s="141">
        <v>4</v>
      </c>
      <c r="T163" s="141">
        <v>2</v>
      </c>
      <c r="U163" s="141">
        <v>2</v>
      </c>
      <c r="V163" s="141">
        <v>2</v>
      </c>
      <c r="W163" s="141">
        <v>2</v>
      </c>
      <c r="X163" s="141">
        <v>2</v>
      </c>
      <c r="Y163" s="141">
        <v>2</v>
      </c>
      <c r="Z163" s="141">
        <v>3</v>
      </c>
      <c r="AA163" s="141">
        <v>3</v>
      </c>
      <c r="AB163" s="141">
        <v>1</v>
      </c>
      <c r="AC163" s="154">
        <v>1</v>
      </c>
      <c r="AD163" s="159">
        <v>6.5</v>
      </c>
      <c r="AE163" s="141">
        <v>6</v>
      </c>
      <c r="AF163" s="141">
        <v>8</v>
      </c>
      <c r="AG163" s="141">
        <v>5</v>
      </c>
      <c r="AH163" s="141">
        <v>5</v>
      </c>
      <c r="AI163" s="141">
        <v>6</v>
      </c>
      <c r="AJ163" s="141">
        <v>4</v>
      </c>
      <c r="AK163" s="141">
        <v>6</v>
      </c>
      <c r="AL163" s="141">
        <v>8</v>
      </c>
      <c r="AM163" s="141">
        <v>7</v>
      </c>
      <c r="AN163" s="141">
        <v>4</v>
      </c>
      <c r="AO163" s="141">
        <v>3</v>
      </c>
      <c r="AP163" s="141">
        <v>3</v>
      </c>
      <c r="AQ163" s="9">
        <f t="shared" si="34"/>
        <v>4.5999999999999996</v>
      </c>
      <c r="AR163" s="3">
        <v>5</v>
      </c>
      <c r="AS163" s="3">
        <v>2</v>
      </c>
      <c r="AT163" s="3">
        <v>3</v>
      </c>
      <c r="AU163" s="3">
        <v>3</v>
      </c>
      <c r="AV163" s="3">
        <v>3</v>
      </c>
      <c r="AW163" s="3">
        <v>4</v>
      </c>
      <c r="AX163" s="3">
        <v>4</v>
      </c>
      <c r="AY163" s="3">
        <v>5</v>
      </c>
      <c r="AZ163" s="3">
        <v>5</v>
      </c>
      <c r="BA163" s="3">
        <v>5</v>
      </c>
      <c r="BB163" s="3">
        <v>3</v>
      </c>
      <c r="BC163" s="3">
        <v>4</v>
      </c>
      <c r="BD163" s="117">
        <v>10.76</v>
      </c>
      <c r="BE163" s="3">
        <v>4</v>
      </c>
      <c r="BF163" s="3">
        <v>6</v>
      </c>
      <c r="BG163" s="3">
        <v>11</v>
      </c>
      <c r="BH163" s="3">
        <v>11</v>
      </c>
      <c r="BI163" s="3">
        <v>13</v>
      </c>
      <c r="BJ163" s="3">
        <v>12</v>
      </c>
      <c r="BK163" s="3">
        <v>12</v>
      </c>
      <c r="BL163" s="3">
        <v>8</v>
      </c>
      <c r="BM163" s="3">
        <v>7.6</v>
      </c>
      <c r="BN163" s="3">
        <v>9</v>
      </c>
      <c r="BO163" s="3">
        <v>8</v>
      </c>
      <c r="BP163" s="20">
        <v>6</v>
      </c>
      <c r="BQ163" s="65">
        <v>10.3</v>
      </c>
      <c r="BR163" s="3">
        <v>7</v>
      </c>
      <c r="BS163" s="3">
        <v>7</v>
      </c>
      <c r="BT163" s="3">
        <v>12</v>
      </c>
      <c r="BU163" s="3">
        <v>11</v>
      </c>
      <c r="BV163" s="3">
        <v>10</v>
      </c>
      <c r="BW163" s="3">
        <v>11</v>
      </c>
      <c r="BX163" s="3">
        <v>11</v>
      </c>
      <c r="BY163" s="3">
        <v>13</v>
      </c>
      <c r="BZ163" s="3">
        <v>11</v>
      </c>
      <c r="CA163" s="3">
        <v>10</v>
      </c>
      <c r="CB163" s="3">
        <v>0</v>
      </c>
      <c r="CC163" s="3">
        <v>0</v>
      </c>
      <c r="CD163" s="16">
        <v>11.91</v>
      </c>
      <c r="CE163" s="3">
        <v>7.6</v>
      </c>
      <c r="CF163" s="3">
        <v>11</v>
      </c>
      <c r="CG163" s="3">
        <v>15</v>
      </c>
      <c r="CH163" s="3">
        <v>13</v>
      </c>
      <c r="CI163" s="3">
        <v>10</v>
      </c>
      <c r="CJ163" s="3">
        <v>11</v>
      </c>
      <c r="CK163" s="3">
        <v>8</v>
      </c>
      <c r="CL163" s="66">
        <v>12.1</v>
      </c>
      <c r="CM163" s="66">
        <v>13.2</v>
      </c>
      <c r="CN163" s="66">
        <v>13.2</v>
      </c>
      <c r="CO163" s="3">
        <v>4</v>
      </c>
      <c r="CP163" s="3">
        <v>1</v>
      </c>
      <c r="CQ163" s="9">
        <v>9.620000000000001</v>
      </c>
      <c r="CR163" s="3">
        <v>2</v>
      </c>
      <c r="CS163" s="3">
        <v>4.5999999999999996</v>
      </c>
      <c r="CT163" s="3">
        <v>8.6</v>
      </c>
      <c r="CU163" s="3">
        <v>6</v>
      </c>
      <c r="CV163" s="3">
        <v>10</v>
      </c>
      <c r="CW163" s="3">
        <v>8</v>
      </c>
      <c r="CX163" s="3">
        <v>10</v>
      </c>
      <c r="CY163" s="3">
        <v>11</v>
      </c>
      <c r="CZ163" s="3">
        <v>12</v>
      </c>
      <c r="DA163" s="3">
        <v>12</v>
      </c>
      <c r="DB163" s="3">
        <v>7</v>
      </c>
      <c r="DC163" s="3">
        <v>5</v>
      </c>
      <c r="DD163" s="9">
        <v>6.4</v>
      </c>
      <c r="DE163" s="3">
        <v>4</v>
      </c>
      <c r="DF163" s="3">
        <v>6</v>
      </c>
      <c r="DG163" s="3">
        <v>4</v>
      </c>
      <c r="DH163" s="3">
        <v>6</v>
      </c>
      <c r="DI163" s="3">
        <v>6</v>
      </c>
      <c r="DJ163" s="3">
        <v>8</v>
      </c>
      <c r="DK163" s="3">
        <v>8</v>
      </c>
      <c r="DL163" s="3">
        <v>9</v>
      </c>
      <c r="DM163" s="3">
        <v>7</v>
      </c>
      <c r="DN163" s="3">
        <v>5</v>
      </c>
      <c r="DO163" s="3">
        <v>0</v>
      </c>
      <c r="DP163" s="20">
        <v>1</v>
      </c>
      <c r="DQ163" s="9">
        <v>7</v>
      </c>
      <c r="DR163" s="3">
        <v>0</v>
      </c>
      <c r="DS163" s="3">
        <v>4.5999999999999996</v>
      </c>
      <c r="DT163" s="3">
        <v>7.6</v>
      </c>
      <c r="DU163" s="3">
        <v>8.6</v>
      </c>
      <c r="DV163" s="3">
        <v>10</v>
      </c>
      <c r="DW163" s="3">
        <v>11</v>
      </c>
      <c r="DX163" s="3">
        <v>7</v>
      </c>
      <c r="DY163" s="3">
        <v>9.6</v>
      </c>
      <c r="DZ163" s="3">
        <v>4.5999999999999996</v>
      </c>
      <c r="EA163" s="3">
        <v>7</v>
      </c>
      <c r="EB163" s="3">
        <v>0</v>
      </c>
      <c r="EC163" s="3">
        <v>0</v>
      </c>
      <c r="ED163" s="9">
        <f t="shared" si="35"/>
        <v>5.16</v>
      </c>
      <c r="EE163" s="3">
        <v>2</v>
      </c>
      <c r="EF163" s="3">
        <v>3</v>
      </c>
      <c r="EG163" s="3">
        <v>3</v>
      </c>
      <c r="EH163" s="3">
        <v>2.6</v>
      </c>
      <c r="EI163" s="3">
        <v>5.6</v>
      </c>
      <c r="EJ163" s="3">
        <v>4.5999999999999996</v>
      </c>
      <c r="EK163" s="3">
        <v>5.6</v>
      </c>
      <c r="EL163" s="3">
        <v>6</v>
      </c>
      <c r="EM163" s="3">
        <v>11.6</v>
      </c>
      <c r="EN163" s="3">
        <v>7.6</v>
      </c>
      <c r="EO163" s="3">
        <v>0</v>
      </c>
      <c r="EP163" s="3">
        <v>0</v>
      </c>
      <c r="EQ163" s="9">
        <f t="shared" si="36"/>
        <v>6.7</v>
      </c>
      <c r="ER163" s="3">
        <v>2</v>
      </c>
      <c r="ES163" s="3">
        <v>4</v>
      </c>
      <c r="ET163" s="3">
        <v>6</v>
      </c>
      <c r="EU163" s="3">
        <v>6</v>
      </c>
      <c r="EV163" s="3">
        <v>7</v>
      </c>
      <c r="EW163" s="3">
        <v>6</v>
      </c>
      <c r="EX163" s="3">
        <v>6</v>
      </c>
      <c r="EY163" s="3">
        <v>9</v>
      </c>
      <c r="EZ163" s="3">
        <v>7</v>
      </c>
      <c r="FA163" s="3">
        <v>10</v>
      </c>
      <c r="FB163" s="3">
        <v>2</v>
      </c>
      <c r="FC163" s="3">
        <v>2</v>
      </c>
      <c r="FD163" s="69">
        <f t="shared" si="29"/>
        <v>3.1</v>
      </c>
      <c r="FE163" s="3">
        <v>1</v>
      </c>
      <c r="FF163" s="3">
        <v>1</v>
      </c>
      <c r="FG163" s="3">
        <v>3</v>
      </c>
      <c r="FH163" s="3">
        <v>1</v>
      </c>
      <c r="FI163" s="3">
        <v>1</v>
      </c>
      <c r="FJ163" s="3">
        <v>3</v>
      </c>
      <c r="FK163" s="3">
        <v>3</v>
      </c>
      <c r="FL163" s="3">
        <v>3</v>
      </c>
      <c r="FM163" s="3">
        <v>5</v>
      </c>
      <c r="FN163" s="3">
        <v>4</v>
      </c>
      <c r="FO163" s="3">
        <v>4</v>
      </c>
      <c r="FP163" s="3">
        <v>2</v>
      </c>
      <c r="FQ163" s="16">
        <v>0.3</v>
      </c>
      <c r="FR163" s="102"/>
      <c r="GA163" s="34"/>
      <c r="GC163"/>
      <c r="GD163"/>
      <c r="GE163"/>
    </row>
    <row r="164" spans="1:187" x14ac:dyDescent="0.25">
      <c r="A164" s="6"/>
      <c r="B164" s="25" t="s">
        <v>322</v>
      </c>
      <c r="C164" s="1" t="s">
        <v>318</v>
      </c>
      <c r="D164" s="141">
        <f t="shared" si="38"/>
        <v>0.75</v>
      </c>
      <c r="E164" s="141">
        <v>0</v>
      </c>
      <c r="F164" s="141">
        <v>1</v>
      </c>
      <c r="G164" s="141">
        <v>1</v>
      </c>
      <c r="H164" s="141">
        <v>1</v>
      </c>
      <c r="P164" s="77"/>
      <c r="Q164" s="159">
        <f t="shared" si="37"/>
        <v>0.57999999999999996</v>
      </c>
      <c r="R164" s="141">
        <v>0.6</v>
      </c>
      <c r="S164" s="141">
        <v>0.6</v>
      </c>
      <c r="T164" s="141">
        <v>0</v>
      </c>
      <c r="U164" s="141">
        <v>0.6</v>
      </c>
      <c r="V164" s="141">
        <v>0.6</v>
      </c>
      <c r="W164" s="141">
        <v>0.6</v>
      </c>
      <c r="X164" s="141">
        <v>0.6</v>
      </c>
      <c r="Y164" s="141">
        <v>0.6</v>
      </c>
      <c r="Z164" s="141">
        <v>0.6</v>
      </c>
      <c r="AA164" s="141">
        <v>1</v>
      </c>
      <c r="AB164" s="141">
        <v>0</v>
      </c>
      <c r="AC164" s="154">
        <v>0</v>
      </c>
      <c r="AD164" s="159">
        <v>0</v>
      </c>
      <c r="AE164" s="141">
        <v>0</v>
      </c>
      <c r="AF164" s="141">
        <v>0</v>
      </c>
      <c r="AG164" s="141">
        <v>0</v>
      </c>
      <c r="AH164" s="141">
        <v>0</v>
      </c>
      <c r="AI164" s="141">
        <v>0</v>
      </c>
      <c r="AJ164" s="141">
        <v>0</v>
      </c>
      <c r="AK164" s="141">
        <v>0</v>
      </c>
      <c r="AL164" s="141">
        <v>0</v>
      </c>
      <c r="AM164" s="141">
        <v>0</v>
      </c>
      <c r="AN164" s="141">
        <v>0</v>
      </c>
      <c r="AO164" s="141">
        <v>0</v>
      </c>
      <c r="AP164" s="141">
        <v>0</v>
      </c>
      <c r="AQ164" s="9">
        <f t="shared" si="34"/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117">
        <v>0.7</v>
      </c>
      <c r="BE164" s="3">
        <v>1</v>
      </c>
      <c r="BF164" s="3">
        <v>1</v>
      </c>
      <c r="BG164" s="3">
        <v>0</v>
      </c>
      <c r="BH164" s="3">
        <v>0</v>
      </c>
      <c r="BI164" s="3">
        <v>0</v>
      </c>
      <c r="BJ164" s="3">
        <v>0</v>
      </c>
      <c r="BK164" s="3">
        <v>1</v>
      </c>
      <c r="BL164" s="3">
        <v>1</v>
      </c>
      <c r="BM164" s="3">
        <v>1</v>
      </c>
      <c r="BN164" s="3">
        <v>1</v>
      </c>
      <c r="BO164" s="3">
        <v>1</v>
      </c>
      <c r="BP164" s="20">
        <v>0</v>
      </c>
      <c r="BQ164" s="65">
        <v>0.4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1</v>
      </c>
      <c r="CA164" s="3">
        <v>1</v>
      </c>
      <c r="CB164" s="3">
        <v>1</v>
      </c>
      <c r="CC164" s="3">
        <v>1</v>
      </c>
      <c r="CD164" s="16">
        <v>0.9</v>
      </c>
      <c r="CE164" s="3">
        <v>1</v>
      </c>
      <c r="CF164" s="3">
        <v>1</v>
      </c>
      <c r="CG164" s="3">
        <v>1</v>
      </c>
      <c r="CH164" s="3">
        <v>1</v>
      </c>
      <c r="CI164" s="3">
        <v>1</v>
      </c>
      <c r="CJ164" s="3">
        <v>1</v>
      </c>
      <c r="CK164" s="3">
        <v>0</v>
      </c>
      <c r="CL164" s="66">
        <v>1</v>
      </c>
      <c r="CM164" s="66">
        <v>1</v>
      </c>
      <c r="CN164" s="66">
        <v>1</v>
      </c>
      <c r="CO164" s="3">
        <v>0</v>
      </c>
      <c r="CP164" s="3">
        <v>0</v>
      </c>
      <c r="CQ164" s="9">
        <v>0.6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1</v>
      </c>
      <c r="CY164" s="3">
        <v>1</v>
      </c>
      <c r="CZ164" s="3">
        <v>1</v>
      </c>
      <c r="DA164" s="3">
        <v>1</v>
      </c>
      <c r="DB164" s="3">
        <v>1</v>
      </c>
      <c r="DC164" s="3">
        <v>1</v>
      </c>
      <c r="DD164" s="89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20"/>
      <c r="DQ164" s="89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89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89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97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91"/>
      <c r="FR164" s="102"/>
      <c r="GA164" s="34"/>
      <c r="GC164"/>
      <c r="GD164"/>
      <c r="GE164"/>
    </row>
    <row r="165" spans="1:187" x14ac:dyDescent="0.25">
      <c r="A165" s="6" t="s">
        <v>270</v>
      </c>
      <c r="B165" s="25" t="s">
        <v>286</v>
      </c>
      <c r="C165" s="1" t="s">
        <v>285</v>
      </c>
      <c r="D165" s="141">
        <f t="shared" si="38"/>
        <v>0</v>
      </c>
      <c r="E165" s="141">
        <v>0</v>
      </c>
      <c r="F165" s="141">
        <v>0</v>
      </c>
      <c r="G165" s="141">
        <v>0</v>
      </c>
      <c r="H165" s="141">
        <v>0</v>
      </c>
      <c r="P165" s="77"/>
      <c r="Q165" s="159">
        <f t="shared" si="37"/>
        <v>0</v>
      </c>
      <c r="R165" s="141">
        <v>0</v>
      </c>
      <c r="S165" s="141">
        <v>0</v>
      </c>
      <c r="T165" s="141">
        <v>0</v>
      </c>
      <c r="U165" s="141">
        <v>0</v>
      </c>
      <c r="V165" s="141">
        <v>0</v>
      </c>
      <c r="W165" s="141">
        <v>0</v>
      </c>
      <c r="X165" s="141">
        <v>0</v>
      </c>
      <c r="Y165" s="141">
        <v>0</v>
      </c>
      <c r="Z165" s="141">
        <v>0</v>
      </c>
      <c r="AA165" s="141">
        <v>0</v>
      </c>
      <c r="AB165" s="141">
        <v>0</v>
      </c>
      <c r="AC165" s="154">
        <v>0</v>
      </c>
      <c r="AD165" s="159">
        <v>0</v>
      </c>
      <c r="AE165" s="141">
        <v>0</v>
      </c>
      <c r="AF165" s="141">
        <v>0</v>
      </c>
      <c r="AG165" s="141">
        <v>0</v>
      </c>
      <c r="AH165" s="141">
        <v>0</v>
      </c>
      <c r="AI165" s="141">
        <v>0</v>
      </c>
      <c r="AJ165" s="141">
        <v>0</v>
      </c>
      <c r="AK165" s="141">
        <v>0</v>
      </c>
      <c r="AL165" s="141">
        <v>0</v>
      </c>
      <c r="AM165" s="141">
        <v>0</v>
      </c>
      <c r="AN165" s="141">
        <v>0</v>
      </c>
      <c r="AO165" s="141">
        <v>0</v>
      </c>
      <c r="AP165" s="141">
        <v>0</v>
      </c>
      <c r="AQ165" s="9">
        <f t="shared" si="34"/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117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20">
        <v>0</v>
      </c>
      <c r="BQ165" s="65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16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66">
        <v>0</v>
      </c>
      <c r="CM165" s="66">
        <v>0</v>
      </c>
      <c r="CN165" s="66">
        <v>0</v>
      </c>
      <c r="CO165" s="3">
        <v>0</v>
      </c>
      <c r="CP165" s="3">
        <v>0</v>
      </c>
      <c r="CQ165" s="9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9">
        <v>0.2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1</v>
      </c>
      <c r="DO165" s="3">
        <v>1</v>
      </c>
      <c r="DP165" s="20">
        <v>0</v>
      </c>
      <c r="DQ165" s="89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89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89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97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91"/>
      <c r="FR165" s="102"/>
      <c r="GA165" s="34"/>
      <c r="GC165"/>
      <c r="GD165"/>
      <c r="GE165"/>
    </row>
    <row r="166" spans="1:187" x14ac:dyDescent="0.25">
      <c r="A166" s="6" t="s">
        <v>317</v>
      </c>
      <c r="B166" s="68" t="s">
        <v>57</v>
      </c>
      <c r="C166" s="1" t="s">
        <v>67</v>
      </c>
      <c r="D166" s="141">
        <f t="shared" si="38"/>
        <v>0</v>
      </c>
      <c r="E166" s="141">
        <v>0</v>
      </c>
      <c r="F166" s="141">
        <v>0</v>
      </c>
      <c r="G166" s="141">
        <v>0</v>
      </c>
      <c r="H166" s="141">
        <v>0</v>
      </c>
      <c r="P166" s="77"/>
      <c r="Q166" s="159">
        <f t="shared" si="37"/>
        <v>0</v>
      </c>
      <c r="R166" s="141">
        <v>0</v>
      </c>
      <c r="S166" s="141">
        <v>0</v>
      </c>
      <c r="T166" s="141">
        <v>0</v>
      </c>
      <c r="U166" s="141">
        <v>0</v>
      </c>
      <c r="V166" s="141">
        <v>0</v>
      </c>
      <c r="W166" s="141">
        <v>0</v>
      </c>
      <c r="X166" s="141">
        <v>0</v>
      </c>
      <c r="Y166" s="141">
        <v>0</v>
      </c>
      <c r="Z166" s="141">
        <v>0</v>
      </c>
      <c r="AA166" s="141">
        <v>0</v>
      </c>
      <c r="AB166" s="141">
        <v>0</v>
      </c>
      <c r="AC166" s="154">
        <v>0</v>
      </c>
      <c r="AD166" s="159">
        <v>0</v>
      </c>
      <c r="AE166" s="141">
        <v>0</v>
      </c>
      <c r="AF166" s="141">
        <v>0</v>
      </c>
      <c r="AG166" s="141">
        <v>0</v>
      </c>
      <c r="AH166" s="141">
        <v>0</v>
      </c>
      <c r="AI166" s="141">
        <v>0</v>
      </c>
      <c r="AJ166" s="141">
        <v>0</v>
      </c>
      <c r="AK166" s="141">
        <v>0</v>
      </c>
      <c r="AL166" s="141">
        <v>0</v>
      </c>
      <c r="AM166" s="141">
        <v>0</v>
      </c>
      <c r="AN166" s="141">
        <v>0</v>
      </c>
      <c r="AO166" s="141">
        <v>0</v>
      </c>
      <c r="AP166" s="141">
        <v>0</v>
      </c>
      <c r="AQ166" s="9">
        <f t="shared" si="34"/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117">
        <v>0.4</v>
      </c>
      <c r="BE166" s="3">
        <v>1</v>
      </c>
      <c r="BF166" s="3">
        <v>1</v>
      </c>
      <c r="BG166" s="3">
        <v>1</v>
      </c>
      <c r="BH166" s="3">
        <v>1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20">
        <v>0</v>
      </c>
      <c r="BQ166" s="65">
        <v>4</v>
      </c>
      <c r="BR166" s="3">
        <v>5</v>
      </c>
      <c r="BS166" s="3">
        <v>5</v>
      </c>
      <c r="BT166" s="3">
        <v>5</v>
      </c>
      <c r="BU166" s="3">
        <v>5</v>
      </c>
      <c r="BV166" s="3">
        <v>5</v>
      </c>
      <c r="BW166" s="3">
        <v>5</v>
      </c>
      <c r="BX166" s="3">
        <v>3</v>
      </c>
      <c r="BY166" s="3">
        <v>3</v>
      </c>
      <c r="BZ166" s="3">
        <v>3</v>
      </c>
      <c r="CA166" s="3">
        <v>1</v>
      </c>
      <c r="CB166" s="3">
        <v>0</v>
      </c>
      <c r="CC166" s="3">
        <v>0</v>
      </c>
      <c r="CD166" s="16">
        <v>2.0339999999999998</v>
      </c>
      <c r="CE166" s="3">
        <v>1</v>
      </c>
      <c r="CF166" s="3">
        <v>2</v>
      </c>
      <c r="CG166" s="3">
        <v>2</v>
      </c>
      <c r="CH166" s="3">
        <v>1</v>
      </c>
      <c r="CI166" s="3">
        <v>1</v>
      </c>
      <c r="CJ166" s="3">
        <v>2</v>
      </c>
      <c r="CK166" s="3">
        <v>4</v>
      </c>
      <c r="CL166" s="66">
        <v>2.67</v>
      </c>
      <c r="CM166" s="66">
        <v>2.67</v>
      </c>
      <c r="CN166" s="66">
        <v>2</v>
      </c>
      <c r="CO166" s="3">
        <v>0</v>
      </c>
      <c r="CP166" s="3">
        <v>0</v>
      </c>
      <c r="CQ166" s="9">
        <v>3.6</v>
      </c>
      <c r="CR166" s="3">
        <v>0</v>
      </c>
      <c r="CS166" s="3">
        <v>2</v>
      </c>
      <c r="CT166" s="3">
        <v>5</v>
      </c>
      <c r="CU166" s="3">
        <v>8</v>
      </c>
      <c r="CV166" s="3">
        <v>2</v>
      </c>
      <c r="CW166" s="3">
        <v>5</v>
      </c>
      <c r="CX166" s="3">
        <v>3</v>
      </c>
      <c r="CY166" s="3">
        <v>4</v>
      </c>
      <c r="CZ166" s="3">
        <v>4</v>
      </c>
      <c r="DA166" s="3">
        <v>3</v>
      </c>
      <c r="DB166" s="3">
        <v>0</v>
      </c>
      <c r="DC166" s="3">
        <v>0</v>
      </c>
      <c r="DD166" s="89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20"/>
      <c r="DQ166" s="9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9">
        <f t="shared" si="35"/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9">
        <f t="shared" si="36"/>
        <v>11.7</v>
      </c>
      <c r="ER166" s="3">
        <v>6</v>
      </c>
      <c r="ES166" s="3">
        <v>9</v>
      </c>
      <c r="ET166" s="3">
        <v>12</v>
      </c>
      <c r="EU166" s="3">
        <v>12</v>
      </c>
      <c r="EV166" s="3">
        <v>12</v>
      </c>
      <c r="EW166" s="3">
        <v>7</v>
      </c>
      <c r="EX166" s="3">
        <v>11</v>
      </c>
      <c r="EY166" s="3">
        <v>11</v>
      </c>
      <c r="EZ166" s="3">
        <v>9</v>
      </c>
      <c r="FA166" s="3">
        <v>11</v>
      </c>
      <c r="FB166" s="3">
        <v>9</v>
      </c>
      <c r="FC166" s="3">
        <v>8</v>
      </c>
      <c r="FD166" s="69">
        <f t="shared" si="29"/>
        <v>8.5</v>
      </c>
      <c r="FE166" s="3">
        <v>9</v>
      </c>
      <c r="FF166" s="3">
        <v>9</v>
      </c>
      <c r="FG166" s="3">
        <v>10</v>
      </c>
      <c r="FH166" s="3">
        <v>9</v>
      </c>
      <c r="FI166" s="3">
        <v>6</v>
      </c>
      <c r="FJ166" s="3">
        <v>6</v>
      </c>
      <c r="FK166" s="3">
        <v>8</v>
      </c>
      <c r="FL166" s="3">
        <v>5</v>
      </c>
      <c r="FM166" s="3">
        <v>5</v>
      </c>
      <c r="FN166" s="3">
        <v>7</v>
      </c>
      <c r="FO166" s="3">
        <v>6</v>
      </c>
      <c r="FP166" s="3">
        <v>5</v>
      </c>
      <c r="FQ166" s="102"/>
      <c r="FR166" s="102"/>
      <c r="GA166" s="34"/>
      <c r="GC166"/>
      <c r="GD166"/>
      <c r="GE166"/>
    </row>
    <row r="167" spans="1:187" x14ac:dyDescent="0.25">
      <c r="A167" s="6" t="s">
        <v>159</v>
      </c>
      <c r="B167" s="68" t="s">
        <v>43</v>
      </c>
      <c r="C167" s="1" t="s">
        <v>44</v>
      </c>
      <c r="D167" s="141">
        <f t="shared" si="38"/>
        <v>22</v>
      </c>
      <c r="E167" s="141">
        <v>18</v>
      </c>
      <c r="F167" s="141">
        <v>20</v>
      </c>
      <c r="G167" s="141">
        <v>27</v>
      </c>
      <c r="H167" s="141">
        <v>23</v>
      </c>
      <c r="P167" s="77"/>
      <c r="Q167" s="159">
        <f t="shared" si="37"/>
        <v>18.8</v>
      </c>
      <c r="R167" s="141">
        <v>10</v>
      </c>
      <c r="S167" s="141">
        <v>12</v>
      </c>
      <c r="T167" s="141">
        <v>21</v>
      </c>
      <c r="U167" s="141">
        <v>23</v>
      </c>
      <c r="V167" s="141">
        <v>16</v>
      </c>
      <c r="W167" s="141">
        <v>16</v>
      </c>
      <c r="X167" s="141">
        <v>11</v>
      </c>
      <c r="Y167" s="141">
        <v>20</v>
      </c>
      <c r="Z167" s="141">
        <v>23</v>
      </c>
      <c r="AA167" s="141">
        <v>21</v>
      </c>
      <c r="AB167" s="141">
        <v>12</v>
      </c>
      <c r="AC167" s="154">
        <v>3</v>
      </c>
      <c r="AD167" s="159">
        <v>20.56</v>
      </c>
      <c r="AE167" s="141">
        <v>19.600000000000001</v>
      </c>
      <c r="AF167" s="141">
        <v>19.600000000000001</v>
      </c>
      <c r="AG167" s="141">
        <v>23.6</v>
      </c>
      <c r="AH167" s="141">
        <v>18.600000000000001</v>
      </c>
      <c r="AI167" s="141">
        <v>17</v>
      </c>
      <c r="AJ167" s="141">
        <v>18.600000000000001</v>
      </c>
      <c r="AK167" s="141">
        <v>20.6</v>
      </c>
      <c r="AL167" s="141">
        <v>18</v>
      </c>
      <c r="AM167" s="141">
        <v>17</v>
      </c>
      <c r="AN167" s="141">
        <v>15</v>
      </c>
      <c r="AO167" s="141">
        <v>12</v>
      </c>
      <c r="AP167" s="141">
        <v>6</v>
      </c>
      <c r="AQ167" s="9">
        <f t="shared" si="34"/>
        <v>19.5</v>
      </c>
      <c r="AR167" s="3">
        <v>12</v>
      </c>
      <c r="AS167" s="3">
        <v>14</v>
      </c>
      <c r="AT167" s="3">
        <v>17</v>
      </c>
      <c r="AU167" s="3">
        <v>16</v>
      </c>
      <c r="AV167" s="3">
        <v>15</v>
      </c>
      <c r="AW167" s="3">
        <v>16</v>
      </c>
      <c r="AX167" s="3">
        <v>18</v>
      </c>
      <c r="AY167" s="3">
        <v>18</v>
      </c>
      <c r="AZ167" s="3">
        <v>18</v>
      </c>
      <c r="BA167" s="3">
        <v>20</v>
      </c>
      <c r="BB167" s="3">
        <v>19</v>
      </c>
      <c r="BC167" s="3">
        <v>12</v>
      </c>
      <c r="BD167" s="117">
        <v>20.506</v>
      </c>
      <c r="BE167" s="15">
        <v>17</v>
      </c>
      <c r="BF167" s="15">
        <v>19</v>
      </c>
      <c r="BG167" s="15">
        <v>18</v>
      </c>
      <c r="BH167" s="15">
        <v>18</v>
      </c>
      <c r="BI167" s="15">
        <v>15</v>
      </c>
      <c r="BJ167" s="15">
        <v>15</v>
      </c>
      <c r="BK167" s="15">
        <v>13</v>
      </c>
      <c r="BL167" s="15">
        <v>17</v>
      </c>
      <c r="BM167" s="15">
        <v>21.53</v>
      </c>
      <c r="BN167" s="15">
        <v>23.53</v>
      </c>
      <c r="BO167" s="15">
        <v>17</v>
      </c>
      <c r="BP167" s="21">
        <v>11</v>
      </c>
      <c r="BQ167" s="73">
        <v>26.28</v>
      </c>
      <c r="BR167" s="15">
        <v>27</v>
      </c>
      <c r="BS167" s="15">
        <v>25</v>
      </c>
      <c r="BT167" s="15">
        <v>26.6</v>
      </c>
      <c r="BU167" s="15">
        <v>24.2</v>
      </c>
      <c r="BV167" s="15">
        <v>23</v>
      </c>
      <c r="BW167" s="15">
        <v>22</v>
      </c>
      <c r="BX167" s="15">
        <v>23</v>
      </c>
      <c r="BY167" s="15">
        <v>21</v>
      </c>
      <c r="BZ167" s="15">
        <v>27</v>
      </c>
      <c r="CA167" s="15">
        <v>20</v>
      </c>
      <c r="CB167" s="15">
        <v>15</v>
      </c>
      <c r="CC167" s="15">
        <v>9</v>
      </c>
      <c r="CD167" s="18">
        <v>24.29</v>
      </c>
      <c r="CE167" s="15">
        <v>12</v>
      </c>
      <c r="CF167" s="15">
        <v>22</v>
      </c>
      <c r="CG167" s="15">
        <v>22</v>
      </c>
      <c r="CH167" s="15">
        <v>14</v>
      </c>
      <c r="CI167" s="15">
        <v>17</v>
      </c>
      <c r="CJ167" s="15">
        <v>23.6</v>
      </c>
      <c r="CK167" s="15">
        <v>22.6</v>
      </c>
      <c r="CL167" s="74">
        <v>26.38</v>
      </c>
      <c r="CM167" s="74">
        <v>27.77</v>
      </c>
      <c r="CN167" s="74">
        <v>30.55</v>
      </c>
      <c r="CO167" s="15">
        <v>14</v>
      </c>
      <c r="CP167" s="15">
        <v>11</v>
      </c>
      <c r="CQ167" s="10">
        <v>21.7</v>
      </c>
      <c r="CR167" s="15">
        <v>14</v>
      </c>
      <c r="CS167" s="15">
        <v>14</v>
      </c>
      <c r="CT167" s="15">
        <v>20</v>
      </c>
      <c r="CU167" s="15">
        <v>19</v>
      </c>
      <c r="CV167" s="15">
        <v>15</v>
      </c>
      <c r="CW167" s="15">
        <v>25</v>
      </c>
      <c r="CX167" s="15">
        <v>17</v>
      </c>
      <c r="CY167" s="15">
        <v>19</v>
      </c>
      <c r="CZ167" s="15">
        <v>20</v>
      </c>
      <c r="DA167" s="15">
        <v>22</v>
      </c>
      <c r="DB167" s="15">
        <v>17</v>
      </c>
      <c r="DC167" s="15">
        <v>15</v>
      </c>
      <c r="DD167" s="10">
        <v>17.619999999999997</v>
      </c>
      <c r="DE167" s="15">
        <v>9</v>
      </c>
      <c r="DF167" s="15">
        <v>18</v>
      </c>
      <c r="DG167" s="15">
        <v>21</v>
      </c>
      <c r="DH167" s="15">
        <v>14.6</v>
      </c>
      <c r="DI167" s="15">
        <v>12</v>
      </c>
      <c r="DJ167" s="15">
        <v>17</v>
      </c>
      <c r="DK167" s="15">
        <v>14</v>
      </c>
      <c r="DL167" s="15">
        <v>17.600000000000001</v>
      </c>
      <c r="DM167" s="15">
        <v>12</v>
      </c>
      <c r="DN167" s="15">
        <v>16</v>
      </c>
      <c r="DO167" s="15">
        <v>17</v>
      </c>
      <c r="DP167" s="21">
        <v>8</v>
      </c>
      <c r="DQ167" s="10">
        <v>21.759999999999998</v>
      </c>
      <c r="DR167" s="15">
        <v>17</v>
      </c>
      <c r="DS167" s="15">
        <v>17</v>
      </c>
      <c r="DT167" s="15">
        <v>15</v>
      </c>
      <c r="DU167" s="15">
        <v>23</v>
      </c>
      <c r="DV167" s="15">
        <v>21</v>
      </c>
      <c r="DW167" s="15">
        <v>23</v>
      </c>
      <c r="DX167" s="15">
        <v>22</v>
      </c>
      <c r="DY167" s="15">
        <v>19.600000000000001</v>
      </c>
      <c r="DZ167" s="15">
        <v>23</v>
      </c>
      <c r="EA167" s="15">
        <v>21</v>
      </c>
      <c r="EB167" s="15">
        <v>11</v>
      </c>
      <c r="EC167" s="15">
        <v>5</v>
      </c>
      <c r="ED167" s="10">
        <f t="shared" si="35"/>
        <v>27.060000000000009</v>
      </c>
      <c r="EE167" s="15">
        <v>15</v>
      </c>
      <c r="EF167" s="15">
        <v>21</v>
      </c>
      <c r="EG167" s="15">
        <v>22.6</v>
      </c>
      <c r="EH167" s="15">
        <v>18.2</v>
      </c>
      <c r="EI167" s="15">
        <v>28.6</v>
      </c>
      <c r="EJ167" s="15">
        <v>24.6</v>
      </c>
      <c r="EK167" s="15">
        <v>25</v>
      </c>
      <c r="EL167" s="15">
        <v>28.8</v>
      </c>
      <c r="EM167" s="15">
        <v>26.8</v>
      </c>
      <c r="EN167" s="15">
        <v>23.8</v>
      </c>
      <c r="EO167" s="15">
        <v>23.6</v>
      </c>
      <c r="EP167" s="15">
        <v>12.6</v>
      </c>
      <c r="EQ167" s="10">
        <f t="shared" si="36"/>
        <v>31.6</v>
      </c>
      <c r="ER167" s="15">
        <v>23</v>
      </c>
      <c r="ES167" s="15">
        <v>25</v>
      </c>
      <c r="ET167" s="15">
        <v>35.6</v>
      </c>
      <c r="EU167" s="15">
        <v>28.6</v>
      </c>
      <c r="EV167" s="15">
        <v>31.6</v>
      </c>
      <c r="EW167" s="15">
        <v>35.6</v>
      </c>
      <c r="EX167" s="15">
        <v>30.6</v>
      </c>
      <c r="EY167" s="15">
        <v>27</v>
      </c>
      <c r="EZ167" s="15">
        <v>23</v>
      </c>
      <c r="FA167" s="15">
        <v>27</v>
      </c>
      <c r="FB167" s="15">
        <v>19</v>
      </c>
      <c r="FC167" s="15">
        <v>10</v>
      </c>
      <c r="FD167" s="75">
        <f t="shared" si="29"/>
        <v>17.3</v>
      </c>
      <c r="FE167" s="15">
        <v>5</v>
      </c>
      <c r="FF167" s="15">
        <v>3</v>
      </c>
      <c r="FG167" s="15">
        <v>11</v>
      </c>
      <c r="FH167" s="15">
        <v>7</v>
      </c>
      <c r="FI167" s="15">
        <v>11</v>
      </c>
      <c r="FJ167" s="15">
        <v>11</v>
      </c>
      <c r="FK167" s="15">
        <v>18</v>
      </c>
      <c r="FL167" s="15">
        <v>25</v>
      </c>
      <c r="FM167" s="15">
        <v>28</v>
      </c>
      <c r="FN167" s="15">
        <v>26</v>
      </c>
      <c r="FO167" s="15">
        <v>13</v>
      </c>
      <c r="FP167" s="15">
        <v>15</v>
      </c>
      <c r="FQ167" s="18">
        <v>2.2000000000000002</v>
      </c>
      <c r="FR167" s="103"/>
      <c r="GA167" s="34"/>
    </row>
    <row r="168" spans="1:187" x14ac:dyDescent="0.25">
      <c r="A168" s="83" t="s">
        <v>293</v>
      </c>
      <c r="B168" s="28" t="s">
        <v>144</v>
      </c>
      <c r="C168" s="22" t="s">
        <v>141</v>
      </c>
      <c r="D168" s="132"/>
      <c r="E168" s="132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32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90"/>
      <c r="AD168" s="94"/>
      <c r="AE168" s="132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94"/>
      <c r="AR168" s="132"/>
      <c r="AS168" s="132"/>
      <c r="AT168" s="132"/>
      <c r="AU168" s="132"/>
      <c r="AV168" s="132"/>
      <c r="AW168" s="132"/>
      <c r="AX168" s="132"/>
      <c r="AY168" s="133"/>
      <c r="AZ168" s="133"/>
      <c r="BA168" s="133"/>
      <c r="BB168" s="133"/>
      <c r="BC168" s="139"/>
      <c r="BD168" s="93"/>
      <c r="BE168" s="132"/>
      <c r="BF168" s="132"/>
      <c r="BG168" s="132"/>
      <c r="BH168" s="132"/>
      <c r="BI168" s="132"/>
      <c r="BJ168" s="132"/>
      <c r="BK168" s="132"/>
      <c r="BL168" s="132"/>
      <c r="BM168" s="132"/>
      <c r="BN168" s="132"/>
      <c r="BO168" s="132"/>
      <c r="BP168" s="148"/>
      <c r="BQ168" s="148"/>
      <c r="BR168" s="132"/>
      <c r="BS168" s="132"/>
      <c r="BT168" s="132"/>
      <c r="BU168" s="132"/>
      <c r="BV168" s="132"/>
      <c r="BW168" s="132"/>
      <c r="BX168" s="132"/>
      <c r="BY168" s="132"/>
      <c r="BZ168" s="132"/>
      <c r="CA168" s="132"/>
      <c r="CB168" s="132"/>
      <c r="CC168" s="132"/>
      <c r="CD168" s="93"/>
      <c r="CE168" s="132"/>
      <c r="CF168" s="132"/>
      <c r="CG168" s="132"/>
      <c r="CH168" s="132"/>
      <c r="CI168" s="132"/>
      <c r="CJ168" s="132"/>
      <c r="CK168" s="132"/>
      <c r="CL168" s="149"/>
      <c r="CM168" s="149"/>
      <c r="CN168" s="149"/>
      <c r="CO168" s="132"/>
      <c r="CP168" s="139"/>
      <c r="CQ168" s="94"/>
      <c r="CR168" s="132"/>
      <c r="CS168" s="133"/>
      <c r="CT168" s="133"/>
      <c r="CU168" s="133"/>
      <c r="CV168" s="133"/>
      <c r="CW168" s="133"/>
      <c r="CX168" s="133"/>
      <c r="CY168" s="133"/>
      <c r="CZ168" s="133"/>
      <c r="DA168" s="133"/>
      <c r="DB168" s="133"/>
      <c r="DC168" s="133"/>
      <c r="DD168" s="94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4"/>
      <c r="DQ168" s="150">
        <v>0</v>
      </c>
      <c r="DR168" s="23">
        <v>0</v>
      </c>
      <c r="DS168" s="23">
        <v>0</v>
      </c>
      <c r="DT168" s="23">
        <v>0</v>
      </c>
      <c r="DU168" s="23">
        <v>0</v>
      </c>
      <c r="DV168" s="23">
        <v>0</v>
      </c>
      <c r="DW168" s="23">
        <v>0</v>
      </c>
      <c r="DX168" s="23">
        <v>0</v>
      </c>
      <c r="DY168" s="23">
        <v>0</v>
      </c>
      <c r="DZ168" s="23">
        <v>0</v>
      </c>
      <c r="EA168" s="23">
        <v>0</v>
      </c>
      <c r="EB168" s="23">
        <v>0</v>
      </c>
      <c r="EC168" s="23">
        <v>0</v>
      </c>
      <c r="ED168" s="150">
        <f t="shared" si="35"/>
        <v>0</v>
      </c>
      <c r="EE168" s="23">
        <v>0</v>
      </c>
      <c r="EF168" s="23">
        <v>0</v>
      </c>
      <c r="EG168" s="23">
        <v>0</v>
      </c>
      <c r="EH168" s="23">
        <v>0</v>
      </c>
      <c r="EI168" s="23">
        <v>0</v>
      </c>
      <c r="EJ168" s="23">
        <v>0</v>
      </c>
      <c r="EK168" s="23">
        <v>0</v>
      </c>
      <c r="EL168" s="23">
        <v>0</v>
      </c>
      <c r="EM168" s="23">
        <v>0</v>
      </c>
      <c r="EN168" s="23">
        <v>0</v>
      </c>
      <c r="EO168" s="23">
        <v>0</v>
      </c>
      <c r="EP168" s="23">
        <v>0</v>
      </c>
      <c r="EQ168" s="150">
        <f t="shared" si="36"/>
        <v>0</v>
      </c>
      <c r="ER168" s="23">
        <v>0</v>
      </c>
      <c r="ES168" s="23">
        <v>0</v>
      </c>
      <c r="ET168" s="23">
        <v>0</v>
      </c>
      <c r="EU168" s="23">
        <v>0</v>
      </c>
      <c r="EV168" s="23">
        <v>0</v>
      </c>
      <c r="EW168" s="23">
        <v>0</v>
      </c>
      <c r="EX168" s="23">
        <v>0</v>
      </c>
      <c r="EY168" s="23">
        <v>0</v>
      </c>
      <c r="EZ168" s="23">
        <v>0</v>
      </c>
      <c r="FA168" s="23">
        <v>0</v>
      </c>
      <c r="FB168" s="23">
        <v>0</v>
      </c>
      <c r="FC168" s="23">
        <v>0</v>
      </c>
      <c r="FD168" s="151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152"/>
      <c r="FR168" s="152"/>
      <c r="GA168" s="34"/>
    </row>
    <row r="169" spans="1:187" x14ac:dyDescent="0.25">
      <c r="A169" s="6" t="s">
        <v>160</v>
      </c>
      <c r="B169" s="27" t="s">
        <v>138</v>
      </c>
      <c r="C169" s="4" t="s">
        <v>134</v>
      </c>
      <c r="D169" s="141">
        <f t="shared" ref="D169:D187" si="39">SUM(E169:P169)/$E$2</f>
        <v>275.25</v>
      </c>
      <c r="E169" s="153">
        <v>247</v>
      </c>
      <c r="F169" s="153">
        <v>272</v>
      </c>
      <c r="G169" s="153">
        <v>289</v>
      </c>
      <c r="H169" s="153">
        <v>293</v>
      </c>
      <c r="P169" s="77"/>
      <c r="Q169" s="159">
        <f t="shared" ref="Q169:Q187" si="40">SUM(R169:AC169)/10</f>
        <v>274.10000000000002</v>
      </c>
      <c r="R169" s="141">
        <v>193</v>
      </c>
      <c r="S169" s="141">
        <v>243</v>
      </c>
      <c r="T169" s="141">
        <v>281</v>
      </c>
      <c r="U169" s="141">
        <v>280</v>
      </c>
      <c r="V169" s="141">
        <v>279</v>
      </c>
      <c r="W169" s="141">
        <v>290</v>
      </c>
      <c r="X169" s="141">
        <v>291</v>
      </c>
      <c r="Y169" s="141">
        <v>297</v>
      </c>
      <c r="Z169" s="141">
        <v>299</v>
      </c>
      <c r="AA169" s="141">
        <v>288</v>
      </c>
      <c r="AB169" s="141">
        <v>0</v>
      </c>
      <c r="AC169" s="154">
        <v>0</v>
      </c>
      <c r="AD169" s="161">
        <v>236.5</v>
      </c>
      <c r="AE169" s="153">
        <v>184</v>
      </c>
      <c r="AF169" s="153">
        <v>185</v>
      </c>
      <c r="AG169" s="153">
        <v>227</v>
      </c>
      <c r="AH169" s="153">
        <v>256</v>
      </c>
      <c r="AI169" s="153">
        <v>230</v>
      </c>
      <c r="AJ169" s="153">
        <v>236</v>
      </c>
      <c r="AK169" s="153">
        <v>276</v>
      </c>
      <c r="AL169" s="153">
        <v>251</v>
      </c>
      <c r="AM169" s="153">
        <v>264</v>
      </c>
      <c r="AN169" s="153">
        <v>256</v>
      </c>
      <c r="AO169" s="153">
        <v>0</v>
      </c>
      <c r="AP169" s="156">
        <v>0</v>
      </c>
      <c r="AQ169" s="150">
        <f t="shared" ref="AQ169:AQ187" si="41">SUM(AR169:BC169)/10</f>
        <v>185</v>
      </c>
      <c r="AR169" s="23">
        <v>180</v>
      </c>
      <c r="AS169" s="23">
        <v>159</v>
      </c>
      <c r="AT169" s="23">
        <v>179</v>
      </c>
      <c r="AU169" s="23">
        <v>190</v>
      </c>
      <c r="AV169" s="23">
        <v>170</v>
      </c>
      <c r="AW169" s="23">
        <v>191</v>
      </c>
      <c r="AX169" s="23">
        <v>194</v>
      </c>
      <c r="AY169" s="23">
        <v>194</v>
      </c>
      <c r="AZ169" s="23">
        <v>188</v>
      </c>
      <c r="BA169" s="23">
        <v>205</v>
      </c>
      <c r="BB169" s="23">
        <v>0</v>
      </c>
      <c r="BC169" s="24">
        <v>0</v>
      </c>
      <c r="BD169" s="162">
        <v>220.29800000000006</v>
      </c>
      <c r="BE169" s="23">
        <v>223.93</v>
      </c>
      <c r="BF169" s="23">
        <v>203.93</v>
      </c>
      <c r="BG169" s="23">
        <v>229.93</v>
      </c>
      <c r="BH169" s="23">
        <v>240.93</v>
      </c>
      <c r="BI169" s="23">
        <v>196</v>
      </c>
      <c r="BJ169" s="23">
        <v>218</v>
      </c>
      <c r="BK169" s="23">
        <v>209.67</v>
      </c>
      <c r="BL169" s="23">
        <v>244.87</v>
      </c>
      <c r="BM169" s="23">
        <v>209.86</v>
      </c>
      <c r="BN169" s="23">
        <v>220.86</v>
      </c>
      <c r="BO169" s="23">
        <v>5</v>
      </c>
      <c r="BP169" s="24">
        <v>0</v>
      </c>
      <c r="BQ169" s="163">
        <v>259.84199999999998</v>
      </c>
      <c r="BR169" s="23">
        <v>283</v>
      </c>
      <c r="BS169" s="23">
        <v>247</v>
      </c>
      <c r="BT169" s="23">
        <v>270</v>
      </c>
      <c r="BU169" s="23">
        <v>264</v>
      </c>
      <c r="BV169" s="23">
        <v>247</v>
      </c>
      <c r="BW169" s="23">
        <v>247.3</v>
      </c>
      <c r="BX169" s="23">
        <v>262</v>
      </c>
      <c r="BY169" s="23">
        <v>273</v>
      </c>
      <c r="BZ169" s="23">
        <v>259.66000000000003</v>
      </c>
      <c r="CA169" s="23">
        <v>245.46</v>
      </c>
      <c r="CB169" s="23">
        <v>0</v>
      </c>
      <c r="CC169" s="23">
        <v>0</v>
      </c>
      <c r="CD169" s="164">
        <v>269.45</v>
      </c>
      <c r="CE169" s="23">
        <v>250</v>
      </c>
      <c r="CF169" s="23">
        <v>295</v>
      </c>
      <c r="CG169" s="23">
        <v>308</v>
      </c>
      <c r="CH169" s="23">
        <v>295</v>
      </c>
      <c r="CI169" s="23">
        <v>257</v>
      </c>
      <c r="CJ169" s="23">
        <v>248</v>
      </c>
      <c r="CK169" s="23">
        <v>273</v>
      </c>
      <c r="CL169" s="165">
        <v>248.28</v>
      </c>
      <c r="CM169" s="165">
        <v>261.29000000000002</v>
      </c>
      <c r="CN169" s="165">
        <v>254.83</v>
      </c>
      <c r="CO169" s="23">
        <v>2.2000000000000002</v>
      </c>
      <c r="CP169" s="23">
        <v>1.9</v>
      </c>
      <c r="CQ169" s="150">
        <v>229.7</v>
      </c>
      <c r="CR169" s="23">
        <v>169</v>
      </c>
      <c r="CS169" s="23">
        <v>195</v>
      </c>
      <c r="CT169" s="23">
        <v>204</v>
      </c>
      <c r="CU169" s="23">
        <v>229</v>
      </c>
      <c r="CV169" s="23">
        <v>206</v>
      </c>
      <c r="CW169" s="23">
        <v>236</v>
      </c>
      <c r="CX169" s="23">
        <v>258</v>
      </c>
      <c r="CY169" s="23">
        <v>259</v>
      </c>
      <c r="CZ169" s="23">
        <v>274</v>
      </c>
      <c r="DA169" s="23">
        <v>267</v>
      </c>
      <c r="DB169" s="23">
        <v>0</v>
      </c>
      <c r="DC169" s="23">
        <v>0</v>
      </c>
      <c r="DD169" s="150">
        <v>99.78</v>
      </c>
      <c r="DE169" s="23">
        <v>53</v>
      </c>
      <c r="DF169" s="23">
        <v>83</v>
      </c>
      <c r="DG169" s="23">
        <v>103</v>
      </c>
      <c r="DH169" s="23">
        <v>99</v>
      </c>
      <c r="DI169" s="23">
        <v>89</v>
      </c>
      <c r="DJ169" s="23">
        <v>111</v>
      </c>
      <c r="DK169" s="23">
        <v>113</v>
      </c>
      <c r="DL169" s="23">
        <v>127</v>
      </c>
      <c r="DM169" s="23">
        <v>109</v>
      </c>
      <c r="DN169" s="23">
        <v>110.80000000000001</v>
      </c>
      <c r="DO169" s="23">
        <v>0</v>
      </c>
      <c r="DP169" s="24">
        <v>0</v>
      </c>
      <c r="DQ169" s="150">
        <v>96.6</v>
      </c>
      <c r="DR169" s="23">
        <v>59</v>
      </c>
      <c r="DS169" s="23">
        <v>93</v>
      </c>
      <c r="DT169" s="23">
        <v>99</v>
      </c>
      <c r="DU169" s="23">
        <v>92</v>
      </c>
      <c r="DV169" s="23">
        <v>60</v>
      </c>
      <c r="DW169" s="23">
        <v>74</v>
      </c>
      <c r="DX169" s="23">
        <v>133.6</v>
      </c>
      <c r="DY169" s="23">
        <v>132.80000000000001</v>
      </c>
      <c r="DZ169" s="23">
        <v>119.8</v>
      </c>
      <c r="EA169" s="23">
        <v>102.8</v>
      </c>
      <c r="EB169" s="23">
        <v>0</v>
      </c>
      <c r="EC169" s="23">
        <v>0</v>
      </c>
      <c r="ED169" s="150">
        <f t="shared" si="35"/>
        <v>93.460000000000008</v>
      </c>
      <c r="EE169" s="23">
        <v>42.7</v>
      </c>
      <c r="EF169" s="23">
        <v>57</v>
      </c>
      <c r="EG169" s="23">
        <v>61.9</v>
      </c>
      <c r="EH169" s="23">
        <v>55.2</v>
      </c>
      <c r="EI169" s="23">
        <v>115.5</v>
      </c>
      <c r="EJ169" s="23">
        <v>118.8</v>
      </c>
      <c r="EK169" s="23">
        <v>121</v>
      </c>
      <c r="EL169" s="23">
        <v>141.19999999999999</v>
      </c>
      <c r="EM169" s="23">
        <v>114.7</v>
      </c>
      <c r="EN169" s="23">
        <v>106.6</v>
      </c>
      <c r="EO169" s="23">
        <v>0</v>
      </c>
      <c r="EP169" s="23">
        <v>0</v>
      </c>
      <c r="EQ169" s="150">
        <f t="shared" si="36"/>
        <v>46.53</v>
      </c>
      <c r="ER169" s="23">
        <v>27</v>
      </c>
      <c r="ES169" s="23">
        <v>45</v>
      </c>
      <c r="ET169" s="23">
        <v>64.400000000000006</v>
      </c>
      <c r="EU169" s="23">
        <v>52.6</v>
      </c>
      <c r="EV169" s="23">
        <v>47.4</v>
      </c>
      <c r="EW169" s="23">
        <v>44.2</v>
      </c>
      <c r="EX169" s="23">
        <v>47.9</v>
      </c>
      <c r="EY169" s="23">
        <v>45.2</v>
      </c>
      <c r="EZ169" s="23">
        <v>47.1</v>
      </c>
      <c r="FA169" s="23">
        <v>44.5</v>
      </c>
      <c r="FB169" s="23">
        <v>0</v>
      </c>
      <c r="FC169" s="23">
        <v>0</v>
      </c>
      <c r="FD169" s="151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152"/>
      <c r="FR169" s="152"/>
      <c r="GA169" s="34"/>
    </row>
    <row r="170" spans="1:187" x14ac:dyDescent="0.25">
      <c r="A170" s="6"/>
      <c r="B170" s="171" t="s">
        <v>417</v>
      </c>
      <c r="C170" s="172" t="s">
        <v>418</v>
      </c>
      <c r="D170" s="137">
        <f t="shared" si="39"/>
        <v>0</v>
      </c>
      <c r="E170" s="141">
        <v>0</v>
      </c>
      <c r="F170" s="141">
        <v>0</v>
      </c>
      <c r="G170" s="141">
        <v>0</v>
      </c>
      <c r="H170" s="141">
        <v>0</v>
      </c>
      <c r="I170" s="172"/>
      <c r="J170" s="172"/>
      <c r="K170" s="172"/>
      <c r="L170" s="172"/>
      <c r="M170" s="172"/>
      <c r="N170" s="172"/>
      <c r="O170" s="172"/>
      <c r="P170" s="183"/>
      <c r="Q170" s="158">
        <f t="shared" si="40"/>
        <v>0</v>
      </c>
      <c r="R170" s="137">
        <v>0</v>
      </c>
      <c r="S170" s="137">
        <v>0</v>
      </c>
      <c r="T170" s="137">
        <v>0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7">
        <v>0</v>
      </c>
      <c r="AA170" s="137">
        <v>0</v>
      </c>
      <c r="AB170" s="137">
        <v>0</v>
      </c>
      <c r="AC170" s="140">
        <v>0</v>
      </c>
      <c r="AD170" s="89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90"/>
      <c r="AQ170" s="89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129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90"/>
      <c r="BQ170" s="113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91"/>
      <c r="CE170" s="87"/>
      <c r="CF170" s="87"/>
      <c r="CG170" s="87"/>
      <c r="CH170" s="87"/>
      <c r="CI170" s="87"/>
      <c r="CJ170" s="87"/>
      <c r="CK170" s="87"/>
      <c r="CL170" s="92"/>
      <c r="CM170" s="92"/>
      <c r="CN170" s="92"/>
      <c r="CO170" s="87"/>
      <c r="CP170" s="87"/>
      <c r="CQ170" s="89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9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90"/>
      <c r="DQ170" s="89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9"/>
      <c r="EE170" s="87"/>
      <c r="EF170" s="87"/>
      <c r="EG170" s="87"/>
      <c r="EH170" s="87"/>
      <c r="EI170" s="87"/>
      <c r="EJ170" s="87"/>
      <c r="EK170" s="87"/>
      <c r="EL170" s="87"/>
      <c r="EM170" s="87"/>
      <c r="EN170" s="87"/>
      <c r="EO170" s="87"/>
      <c r="EP170" s="87"/>
      <c r="EQ170" s="89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9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102"/>
      <c r="FR170" s="102"/>
      <c r="GA170" s="34"/>
    </row>
    <row r="171" spans="1:187" x14ac:dyDescent="0.25">
      <c r="A171" s="6" t="s">
        <v>353</v>
      </c>
      <c r="B171" s="25" t="s">
        <v>356</v>
      </c>
      <c r="C171" s="1" t="s">
        <v>355</v>
      </c>
      <c r="D171" s="141">
        <f t="shared" si="39"/>
        <v>0</v>
      </c>
      <c r="E171" s="141">
        <v>0</v>
      </c>
      <c r="F171" s="141">
        <v>0</v>
      </c>
      <c r="G171" s="141">
        <v>0</v>
      </c>
      <c r="H171" s="141">
        <v>0</v>
      </c>
      <c r="P171" s="77"/>
      <c r="Q171" s="159">
        <f t="shared" si="40"/>
        <v>2.2000000000000002</v>
      </c>
      <c r="R171" s="141">
        <v>3</v>
      </c>
      <c r="S171" s="141">
        <v>3</v>
      </c>
      <c r="T171" s="141">
        <v>3</v>
      </c>
      <c r="U171" s="141">
        <v>3</v>
      </c>
      <c r="V171" s="141">
        <v>2</v>
      </c>
      <c r="W171" s="141">
        <v>2</v>
      </c>
      <c r="X171" s="141">
        <v>2</v>
      </c>
      <c r="Y171" s="141">
        <v>2</v>
      </c>
      <c r="Z171" s="141">
        <v>1</v>
      </c>
      <c r="AA171" s="141">
        <v>1</v>
      </c>
      <c r="AB171" s="141">
        <v>0</v>
      </c>
      <c r="AC171" s="154">
        <v>0</v>
      </c>
      <c r="AD171" s="159">
        <v>1.6</v>
      </c>
      <c r="AE171" s="141">
        <v>1</v>
      </c>
      <c r="AF171" s="141">
        <v>1</v>
      </c>
      <c r="AG171" s="141">
        <v>1</v>
      </c>
      <c r="AH171" s="141">
        <v>2</v>
      </c>
      <c r="AI171" s="141">
        <v>2</v>
      </c>
      <c r="AJ171" s="141">
        <v>2</v>
      </c>
      <c r="AK171" s="141">
        <v>2</v>
      </c>
      <c r="AL171" s="141">
        <v>2</v>
      </c>
      <c r="AM171" s="141">
        <v>2</v>
      </c>
      <c r="AN171" s="141">
        <v>1</v>
      </c>
      <c r="AO171" s="141">
        <v>0</v>
      </c>
      <c r="AP171" s="141">
        <v>0</v>
      </c>
      <c r="AQ171" s="9">
        <f t="shared" si="41"/>
        <v>3.4</v>
      </c>
      <c r="AR171" s="3">
        <v>0</v>
      </c>
      <c r="AS171" s="3">
        <v>2</v>
      </c>
      <c r="AT171" s="3">
        <v>3</v>
      </c>
      <c r="AU171" s="3">
        <v>3</v>
      </c>
      <c r="AV171" s="3">
        <v>3</v>
      </c>
      <c r="AW171" s="3">
        <v>4</v>
      </c>
      <c r="AX171" s="3">
        <v>4</v>
      </c>
      <c r="AY171" s="3">
        <v>5</v>
      </c>
      <c r="AZ171" s="3">
        <v>5</v>
      </c>
      <c r="BA171" s="3">
        <v>5</v>
      </c>
      <c r="BB171" s="3">
        <v>0</v>
      </c>
      <c r="BC171" s="3">
        <v>0</v>
      </c>
      <c r="BD171" s="117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20">
        <v>0</v>
      </c>
      <c r="BQ171" s="65">
        <v>0.5</v>
      </c>
      <c r="BR171" s="3">
        <v>0</v>
      </c>
      <c r="BS171" s="3">
        <v>0</v>
      </c>
      <c r="BT171" s="3">
        <v>1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2</v>
      </c>
      <c r="CA171" s="3">
        <v>2</v>
      </c>
      <c r="CB171" s="3">
        <v>0</v>
      </c>
      <c r="CC171" s="3">
        <v>0</v>
      </c>
      <c r="CD171" s="16">
        <v>0</v>
      </c>
      <c r="CE171" s="3"/>
      <c r="CF171" s="3"/>
      <c r="CG171" s="3"/>
      <c r="CH171" s="3"/>
      <c r="CI171" s="3"/>
      <c r="CL171" s="66">
        <v>0</v>
      </c>
      <c r="CM171" s="66">
        <v>0</v>
      </c>
      <c r="CN171" s="66">
        <v>0</v>
      </c>
      <c r="CO171" s="3">
        <v>0</v>
      </c>
      <c r="CP171" s="20">
        <v>0</v>
      </c>
      <c r="CQ171" s="89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89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20"/>
      <c r="DQ171" s="89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89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89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97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102"/>
      <c r="FR171" s="102"/>
      <c r="GA171" s="34"/>
    </row>
    <row r="172" spans="1:187" x14ac:dyDescent="0.25">
      <c r="A172" s="12" t="s">
        <v>228</v>
      </c>
      <c r="B172" s="25" t="s">
        <v>236</v>
      </c>
      <c r="C172" s="1" t="s">
        <v>235</v>
      </c>
      <c r="D172" s="141">
        <f t="shared" si="39"/>
        <v>93.5</v>
      </c>
      <c r="E172" s="141">
        <v>98</v>
      </c>
      <c r="F172" s="141">
        <v>95</v>
      </c>
      <c r="G172" s="141">
        <v>96</v>
      </c>
      <c r="H172" s="141">
        <v>85</v>
      </c>
      <c r="P172" s="77"/>
      <c r="Q172" s="159">
        <f t="shared" si="40"/>
        <v>95.4</v>
      </c>
      <c r="R172" s="141">
        <v>98</v>
      </c>
      <c r="S172" s="141">
        <v>100</v>
      </c>
      <c r="T172" s="141">
        <v>100</v>
      </c>
      <c r="U172" s="141">
        <v>94</v>
      </c>
      <c r="V172" s="141">
        <v>88</v>
      </c>
      <c r="W172" s="141">
        <v>100</v>
      </c>
      <c r="X172" s="141">
        <v>101</v>
      </c>
      <c r="Y172" s="141">
        <v>95</v>
      </c>
      <c r="Z172" s="141">
        <v>95</v>
      </c>
      <c r="AA172" s="141">
        <v>83</v>
      </c>
      <c r="AB172" s="141">
        <v>0</v>
      </c>
      <c r="AC172" s="154">
        <v>0</v>
      </c>
      <c r="AD172" s="159">
        <v>101.2</v>
      </c>
      <c r="AE172" s="141">
        <v>87</v>
      </c>
      <c r="AF172" s="141">
        <v>96</v>
      </c>
      <c r="AG172" s="141">
        <v>92</v>
      </c>
      <c r="AH172" s="141">
        <v>100</v>
      </c>
      <c r="AI172" s="141">
        <v>99</v>
      </c>
      <c r="AJ172" s="141">
        <v>115</v>
      </c>
      <c r="AK172" s="141">
        <v>109</v>
      </c>
      <c r="AL172" s="141">
        <v>106</v>
      </c>
      <c r="AM172" s="141">
        <v>107</v>
      </c>
      <c r="AN172" s="141">
        <v>101</v>
      </c>
      <c r="AO172" s="141">
        <v>0</v>
      </c>
      <c r="AP172" s="141">
        <v>0</v>
      </c>
      <c r="AQ172" s="9">
        <f t="shared" si="41"/>
        <v>100.253</v>
      </c>
      <c r="AR172" s="3">
        <v>88</v>
      </c>
      <c r="AS172" s="3">
        <v>90</v>
      </c>
      <c r="AT172" s="3">
        <v>104</v>
      </c>
      <c r="AU172" s="3">
        <v>99</v>
      </c>
      <c r="AV172" s="3">
        <v>96</v>
      </c>
      <c r="AW172" s="3">
        <v>106</v>
      </c>
      <c r="AX172" s="3">
        <v>102</v>
      </c>
      <c r="AY172" s="3">
        <v>103.47</v>
      </c>
      <c r="AZ172" s="3">
        <v>93.53</v>
      </c>
      <c r="BA172" s="3">
        <v>99.53</v>
      </c>
      <c r="BB172" s="3">
        <v>19</v>
      </c>
      <c r="BC172" s="3">
        <v>2</v>
      </c>
      <c r="BD172" s="117">
        <v>89.3</v>
      </c>
      <c r="BE172" s="3">
        <v>103</v>
      </c>
      <c r="BF172" s="3">
        <v>98</v>
      </c>
      <c r="BG172" s="3">
        <v>98</v>
      </c>
      <c r="BH172" s="3">
        <v>93</v>
      </c>
      <c r="BI172" s="3">
        <v>80</v>
      </c>
      <c r="BJ172" s="3">
        <v>80</v>
      </c>
      <c r="BK172" s="3">
        <v>81</v>
      </c>
      <c r="BL172" s="3">
        <v>92</v>
      </c>
      <c r="BM172" s="3">
        <v>85</v>
      </c>
      <c r="BN172" s="3">
        <v>83</v>
      </c>
      <c r="BO172" s="3">
        <v>0</v>
      </c>
      <c r="BP172" s="20">
        <v>0</v>
      </c>
      <c r="BQ172" s="65">
        <v>150.4</v>
      </c>
      <c r="BR172" s="3">
        <v>145</v>
      </c>
      <c r="BS172" s="3">
        <v>143</v>
      </c>
      <c r="BT172" s="3">
        <v>141</v>
      </c>
      <c r="BU172" s="3">
        <v>148</v>
      </c>
      <c r="BV172" s="3">
        <v>146</v>
      </c>
      <c r="BW172" s="3">
        <v>149</v>
      </c>
      <c r="BX172" s="3">
        <v>155</v>
      </c>
      <c r="BY172" s="3">
        <v>159</v>
      </c>
      <c r="BZ172" s="3">
        <v>160</v>
      </c>
      <c r="CA172" s="3">
        <v>152</v>
      </c>
      <c r="CB172" s="3">
        <v>6</v>
      </c>
      <c r="CC172" s="3">
        <v>0</v>
      </c>
      <c r="CD172" s="16">
        <v>105.85599999999999</v>
      </c>
      <c r="CE172" s="3">
        <v>41</v>
      </c>
      <c r="CF172" s="3">
        <v>97.949999999999989</v>
      </c>
      <c r="CG172" s="3">
        <v>112.81</v>
      </c>
      <c r="CH172" s="3">
        <v>112.21</v>
      </c>
      <c r="CI172" s="3">
        <v>109.67</v>
      </c>
      <c r="CJ172" s="3">
        <v>121.55</v>
      </c>
      <c r="CK172" s="3">
        <v>135.26999999999998</v>
      </c>
      <c r="CL172" s="66">
        <v>111.29</v>
      </c>
      <c r="CM172" s="66">
        <v>108.96</v>
      </c>
      <c r="CN172" s="66">
        <v>107.85000000000001</v>
      </c>
      <c r="CO172" s="3">
        <v>0</v>
      </c>
      <c r="CP172" s="20">
        <v>0</v>
      </c>
      <c r="CQ172" s="9">
        <v>131.65699999999998</v>
      </c>
      <c r="CR172" s="3">
        <v>44</v>
      </c>
      <c r="CS172" s="3">
        <v>153.67999999999998</v>
      </c>
      <c r="CT172" s="3">
        <v>139.71</v>
      </c>
      <c r="CU172" s="3">
        <v>144.69999999999999</v>
      </c>
      <c r="CV172" s="3">
        <v>138.68</v>
      </c>
      <c r="CW172" s="3">
        <v>150</v>
      </c>
      <c r="CX172" s="3">
        <v>145.07</v>
      </c>
      <c r="CY172" s="3">
        <v>136.09</v>
      </c>
      <c r="CZ172" s="3">
        <v>133.31</v>
      </c>
      <c r="DA172" s="3">
        <v>131.32999999999998</v>
      </c>
      <c r="DB172" s="3">
        <v>0</v>
      </c>
      <c r="DC172" s="3">
        <v>0</v>
      </c>
      <c r="DD172" s="9">
        <v>26</v>
      </c>
      <c r="DE172" s="3">
        <v>22</v>
      </c>
      <c r="DF172" s="3">
        <v>25</v>
      </c>
      <c r="DG172" s="3">
        <v>22</v>
      </c>
      <c r="DH172" s="3">
        <v>21</v>
      </c>
      <c r="DI172" s="3">
        <v>22</v>
      </c>
      <c r="DJ172" s="3">
        <v>25</v>
      </c>
      <c r="DK172" s="3">
        <v>30</v>
      </c>
      <c r="DL172" s="3">
        <v>28</v>
      </c>
      <c r="DM172" s="3">
        <v>21</v>
      </c>
      <c r="DN172" s="3">
        <v>44</v>
      </c>
      <c r="DO172" s="3">
        <v>0</v>
      </c>
      <c r="DP172" s="20">
        <v>0</v>
      </c>
      <c r="DQ172" s="9">
        <v>51.5</v>
      </c>
      <c r="DR172" s="3">
        <v>67</v>
      </c>
      <c r="DS172" s="3">
        <v>68</v>
      </c>
      <c r="DT172" s="3">
        <v>61</v>
      </c>
      <c r="DU172" s="3">
        <v>56</v>
      </c>
      <c r="DV172" s="3">
        <v>52</v>
      </c>
      <c r="DW172" s="3">
        <v>47</v>
      </c>
      <c r="DX172" s="3">
        <v>44</v>
      </c>
      <c r="DY172" s="3">
        <v>41</v>
      </c>
      <c r="DZ172" s="3">
        <v>43</v>
      </c>
      <c r="EA172" s="3">
        <v>36</v>
      </c>
      <c r="EB172" s="3">
        <v>0</v>
      </c>
      <c r="EC172" s="3">
        <v>0</v>
      </c>
      <c r="ED172" s="89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Q172" s="89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1"/>
      <c r="FD172" s="97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102"/>
      <c r="FR172" s="102"/>
      <c r="GA172" s="34"/>
    </row>
    <row r="173" spans="1:187" x14ac:dyDescent="0.25">
      <c r="A173" s="6" t="s">
        <v>329</v>
      </c>
      <c r="B173" s="25" t="s">
        <v>344</v>
      </c>
      <c r="C173" s="1" t="s">
        <v>334</v>
      </c>
      <c r="D173" s="141">
        <f t="shared" si="39"/>
        <v>16</v>
      </c>
      <c r="E173" s="141">
        <v>7</v>
      </c>
      <c r="F173" s="141">
        <v>14</v>
      </c>
      <c r="G173" s="141">
        <v>19</v>
      </c>
      <c r="H173" s="141">
        <v>24</v>
      </c>
      <c r="P173" s="77"/>
      <c r="Q173" s="159">
        <f t="shared" si="40"/>
        <v>23.5</v>
      </c>
      <c r="R173" s="141">
        <v>21</v>
      </c>
      <c r="S173" s="141">
        <v>26</v>
      </c>
      <c r="T173" s="141">
        <v>26</v>
      </c>
      <c r="U173" s="141">
        <v>26</v>
      </c>
      <c r="V173" s="141">
        <v>25</v>
      </c>
      <c r="W173" s="141">
        <v>25</v>
      </c>
      <c r="X173" s="141">
        <v>22</v>
      </c>
      <c r="Y173" s="141">
        <v>21</v>
      </c>
      <c r="Z173" s="141">
        <v>22</v>
      </c>
      <c r="AA173" s="141">
        <v>21</v>
      </c>
      <c r="AB173" s="141">
        <v>0</v>
      </c>
      <c r="AC173" s="154">
        <v>0</v>
      </c>
      <c r="AD173" s="159">
        <v>25.4</v>
      </c>
      <c r="AE173" s="141">
        <v>15</v>
      </c>
      <c r="AF173" s="141">
        <v>22</v>
      </c>
      <c r="AG173" s="141">
        <v>22</v>
      </c>
      <c r="AH173" s="141">
        <v>23</v>
      </c>
      <c r="AI173" s="141">
        <v>24</v>
      </c>
      <c r="AJ173" s="141">
        <v>25</v>
      </c>
      <c r="AK173" s="141">
        <v>31</v>
      </c>
      <c r="AL173" s="141">
        <v>31</v>
      </c>
      <c r="AM173" s="141">
        <v>32</v>
      </c>
      <c r="AN173" s="141">
        <v>29</v>
      </c>
      <c r="AO173" s="141">
        <v>0</v>
      </c>
      <c r="AP173" s="141">
        <v>0</v>
      </c>
      <c r="AQ173" s="9">
        <f t="shared" si="41"/>
        <v>13.5</v>
      </c>
      <c r="AR173" s="3">
        <v>10</v>
      </c>
      <c r="AS173" s="3">
        <v>11</v>
      </c>
      <c r="AT173" s="3">
        <v>12</v>
      </c>
      <c r="AU173" s="3">
        <v>11</v>
      </c>
      <c r="AV173" s="3">
        <v>11</v>
      </c>
      <c r="AW173" s="3">
        <v>14</v>
      </c>
      <c r="AX173" s="3">
        <v>15</v>
      </c>
      <c r="AY173" s="3">
        <v>16</v>
      </c>
      <c r="AZ173" s="3">
        <v>17</v>
      </c>
      <c r="BA173" s="3">
        <v>18</v>
      </c>
      <c r="BB173" s="3">
        <v>0</v>
      </c>
      <c r="BC173" s="3">
        <v>0</v>
      </c>
      <c r="BD173" s="117">
        <v>6</v>
      </c>
      <c r="BE173" s="3">
        <v>4</v>
      </c>
      <c r="BF173" s="3">
        <v>3</v>
      </c>
      <c r="BG173" s="3">
        <v>4</v>
      </c>
      <c r="BH173" s="3">
        <v>5</v>
      </c>
      <c r="BI173" s="3">
        <v>5</v>
      </c>
      <c r="BJ173" s="3">
        <v>5</v>
      </c>
      <c r="BK173" s="3">
        <v>8</v>
      </c>
      <c r="BL173" s="3">
        <v>8</v>
      </c>
      <c r="BM173" s="3">
        <v>8</v>
      </c>
      <c r="BN173" s="3">
        <v>10</v>
      </c>
      <c r="BO173" s="3">
        <v>0</v>
      </c>
      <c r="BP173" s="20">
        <v>0</v>
      </c>
      <c r="BQ173" s="65">
        <v>8.4</v>
      </c>
      <c r="BR173" s="3">
        <v>5</v>
      </c>
      <c r="BS173" s="3">
        <v>8</v>
      </c>
      <c r="BT173" s="3">
        <v>8</v>
      </c>
      <c r="BU173" s="3">
        <v>11</v>
      </c>
      <c r="BV173" s="3">
        <v>10</v>
      </c>
      <c r="BW173" s="3">
        <v>7</v>
      </c>
      <c r="BX173" s="3">
        <v>7</v>
      </c>
      <c r="BY173" s="3">
        <v>8</v>
      </c>
      <c r="BZ173" s="3">
        <v>10</v>
      </c>
      <c r="CA173" s="3">
        <v>10</v>
      </c>
      <c r="CB173" s="3">
        <v>0</v>
      </c>
      <c r="CC173" s="3">
        <v>0</v>
      </c>
      <c r="CD173" s="16">
        <v>7.9169999999999998</v>
      </c>
      <c r="CE173" s="3">
        <v>0</v>
      </c>
      <c r="CF173" s="3">
        <v>4</v>
      </c>
      <c r="CG173" s="3">
        <v>7</v>
      </c>
      <c r="CH173" s="3">
        <v>7</v>
      </c>
      <c r="CI173" s="3">
        <v>6</v>
      </c>
      <c r="CJ173" s="3">
        <v>10</v>
      </c>
      <c r="CK173" s="3">
        <v>13</v>
      </c>
      <c r="CL173" s="66">
        <v>10.75</v>
      </c>
      <c r="CM173" s="66">
        <v>10.95</v>
      </c>
      <c r="CN173" s="66">
        <v>10.47</v>
      </c>
      <c r="CO173" s="3">
        <v>0</v>
      </c>
      <c r="CP173" s="20">
        <v>0</v>
      </c>
      <c r="CQ173" s="89"/>
      <c r="CR173" s="3"/>
      <c r="CS173" s="3"/>
      <c r="CT173" s="3"/>
      <c r="CU173" s="3"/>
      <c r="CV173" s="3"/>
      <c r="CW173" s="3"/>
      <c r="CX173" s="3"/>
      <c r="CY173" s="3"/>
      <c r="CZ173" s="3"/>
      <c r="DD173" s="89"/>
      <c r="DE173" s="3"/>
      <c r="DF173" s="3"/>
      <c r="DG173" s="3"/>
      <c r="DH173" s="3"/>
      <c r="DI173" s="3"/>
      <c r="DJ173" s="3"/>
      <c r="DK173" s="3"/>
      <c r="DL173" s="3"/>
      <c r="DM173" s="3"/>
      <c r="DQ173" s="89"/>
      <c r="DR173" s="3"/>
      <c r="DS173" s="3"/>
      <c r="DT173" s="3"/>
      <c r="DU173" s="3"/>
      <c r="DV173" s="3"/>
      <c r="DW173" s="3"/>
      <c r="DX173" s="3"/>
      <c r="DY173" s="3"/>
      <c r="DZ173" s="3"/>
      <c r="ED173" s="89"/>
      <c r="EE173" s="3"/>
      <c r="EF173" s="3"/>
      <c r="EG173" s="3"/>
      <c r="EH173" s="3"/>
      <c r="EI173" s="3"/>
      <c r="EJ173" s="3"/>
      <c r="EK173" s="3"/>
      <c r="EL173" s="3"/>
      <c r="EM173" s="3"/>
      <c r="EQ173" s="89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97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102"/>
      <c r="FR173" s="102"/>
      <c r="GA173" s="34"/>
    </row>
    <row r="174" spans="1:187" x14ac:dyDescent="0.25">
      <c r="A174" s="6" t="s">
        <v>176</v>
      </c>
      <c r="B174" s="25" t="s">
        <v>209</v>
      </c>
      <c r="C174" s="1" t="s">
        <v>201</v>
      </c>
      <c r="D174" s="141">
        <f t="shared" si="39"/>
        <v>17.25</v>
      </c>
      <c r="E174" s="141">
        <v>0</v>
      </c>
      <c r="F174" s="141">
        <v>19</v>
      </c>
      <c r="G174" s="141">
        <v>26</v>
      </c>
      <c r="H174" s="141">
        <v>24</v>
      </c>
      <c r="P174" s="77"/>
      <c r="Q174" s="159">
        <f t="shared" si="40"/>
        <v>4.5999999999999996</v>
      </c>
      <c r="R174" s="141">
        <v>0</v>
      </c>
      <c r="S174" s="141">
        <v>5</v>
      </c>
      <c r="T174" s="141">
        <v>7</v>
      </c>
      <c r="U174" s="141">
        <v>7</v>
      </c>
      <c r="V174" s="141">
        <v>7</v>
      </c>
      <c r="W174" s="141">
        <v>5</v>
      </c>
      <c r="X174" s="141">
        <v>6</v>
      </c>
      <c r="Y174" s="141">
        <v>4</v>
      </c>
      <c r="Z174" s="141">
        <v>2</v>
      </c>
      <c r="AA174" s="141">
        <v>3</v>
      </c>
      <c r="AB174" s="141">
        <v>0</v>
      </c>
      <c r="AC174" s="154">
        <v>0</v>
      </c>
      <c r="AD174" s="159">
        <v>9</v>
      </c>
      <c r="AE174" s="141">
        <v>5</v>
      </c>
      <c r="AF174" s="141">
        <v>8</v>
      </c>
      <c r="AG174" s="141">
        <v>6</v>
      </c>
      <c r="AH174" s="141">
        <v>7</v>
      </c>
      <c r="AI174" s="141">
        <v>7</v>
      </c>
      <c r="AJ174" s="141">
        <v>14</v>
      </c>
      <c r="AK174" s="141">
        <v>11</v>
      </c>
      <c r="AL174" s="141">
        <v>12</v>
      </c>
      <c r="AM174" s="141">
        <v>10</v>
      </c>
      <c r="AN174" s="141">
        <v>10</v>
      </c>
      <c r="AO174" s="141">
        <v>0</v>
      </c>
      <c r="AP174" s="141">
        <v>0</v>
      </c>
      <c r="AQ174" s="9">
        <f t="shared" si="41"/>
        <v>7.1</v>
      </c>
      <c r="AR174" s="3">
        <v>2</v>
      </c>
      <c r="AS174" s="3">
        <v>12</v>
      </c>
      <c r="AT174" s="3">
        <v>12</v>
      </c>
      <c r="AU174" s="3">
        <v>2</v>
      </c>
      <c r="AV174" s="3">
        <v>9</v>
      </c>
      <c r="AW174" s="3">
        <v>13</v>
      </c>
      <c r="AX174" s="3">
        <v>9</v>
      </c>
      <c r="AY174" s="3">
        <v>2</v>
      </c>
      <c r="AZ174" s="3">
        <v>8</v>
      </c>
      <c r="BA174" s="3">
        <v>2</v>
      </c>
      <c r="BB174" s="3">
        <v>0</v>
      </c>
      <c r="BC174" s="3">
        <v>0</v>
      </c>
      <c r="BD174" s="117">
        <v>8.1999999999999993</v>
      </c>
      <c r="BE174" s="3">
        <v>0</v>
      </c>
      <c r="BF174" s="3">
        <v>3</v>
      </c>
      <c r="BG174" s="3">
        <v>5</v>
      </c>
      <c r="BH174" s="3">
        <v>8</v>
      </c>
      <c r="BI174" s="3">
        <v>11</v>
      </c>
      <c r="BJ174" s="3">
        <v>12</v>
      </c>
      <c r="BK174" s="3">
        <v>14</v>
      </c>
      <c r="BL174" s="3">
        <v>11</v>
      </c>
      <c r="BM174" s="3">
        <v>9</v>
      </c>
      <c r="BN174" s="3">
        <v>9</v>
      </c>
      <c r="BO174" s="3">
        <v>0</v>
      </c>
      <c r="BP174" s="20">
        <v>0</v>
      </c>
      <c r="BQ174" s="65">
        <v>10.199999999999999</v>
      </c>
      <c r="BR174" s="3">
        <v>17</v>
      </c>
      <c r="BS174" s="3">
        <v>13</v>
      </c>
      <c r="BT174" s="3">
        <v>11</v>
      </c>
      <c r="BU174" s="3">
        <v>9</v>
      </c>
      <c r="BV174" s="3">
        <v>9</v>
      </c>
      <c r="BW174" s="3">
        <v>7</v>
      </c>
      <c r="BX174" s="3">
        <v>9</v>
      </c>
      <c r="BY174" s="3">
        <v>6</v>
      </c>
      <c r="BZ174" s="3">
        <v>10</v>
      </c>
      <c r="CA174" s="3">
        <v>11</v>
      </c>
      <c r="CB174" s="3">
        <v>0</v>
      </c>
      <c r="CC174" s="3">
        <v>0</v>
      </c>
      <c r="CD174" s="16">
        <v>29.731999999999992</v>
      </c>
      <c r="CE174" s="3">
        <v>18</v>
      </c>
      <c r="CF174" s="3">
        <v>19</v>
      </c>
      <c r="CG174" s="3">
        <v>22</v>
      </c>
      <c r="CH174" s="3">
        <v>28</v>
      </c>
      <c r="CI174" s="3">
        <v>26</v>
      </c>
      <c r="CJ174" s="3">
        <v>36</v>
      </c>
      <c r="CK174" s="3">
        <v>49</v>
      </c>
      <c r="CL174" s="66">
        <v>34.76</v>
      </c>
      <c r="CM174" s="66">
        <v>32.28</v>
      </c>
      <c r="CN174" s="66">
        <v>32.28</v>
      </c>
      <c r="CO174" s="3">
        <v>0</v>
      </c>
      <c r="CP174" s="20">
        <v>0</v>
      </c>
      <c r="CQ174" s="9">
        <v>19.5</v>
      </c>
      <c r="CR174" s="3">
        <v>5</v>
      </c>
      <c r="CS174" s="3">
        <v>9</v>
      </c>
      <c r="CT174" s="3">
        <v>11</v>
      </c>
      <c r="CU174" s="3">
        <v>14</v>
      </c>
      <c r="CV174" s="3">
        <v>15</v>
      </c>
      <c r="CW174" s="3">
        <v>21</v>
      </c>
      <c r="CX174" s="3">
        <v>29</v>
      </c>
      <c r="CY174" s="3">
        <v>28</v>
      </c>
      <c r="CZ174" s="3">
        <v>26</v>
      </c>
      <c r="DA174" s="3">
        <v>26</v>
      </c>
      <c r="DB174" s="3">
        <v>5</v>
      </c>
      <c r="DC174" s="3">
        <v>6</v>
      </c>
      <c r="DD174" s="9">
        <v>8.6</v>
      </c>
      <c r="DE174" s="3">
        <v>4</v>
      </c>
      <c r="DF174" s="3">
        <v>8</v>
      </c>
      <c r="DG174" s="3">
        <v>6</v>
      </c>
      <c r="DH174" s="3">
        <v>10</v>
      </c>
      <c r="DI174" s="3">
        <v>7</v>
      </c>
      <c r="DJ174" s="3">
        <v>11</v>
      </c>
      <c r="DK174" s="3">
        <v>8</v>
      </c>
      <c r="DL174" s="3">
        <v>11</v>
      </c>
      <c r="DM174" s="3">
        <v>10</v>
      </c>
      <c r="DN174" s="3">
        <v>11</v>
      </c>
      <c r="DO174" s="3">
        <v>0</v>
      </c>
      <c r="DP174" s="20">
        <v>0</v>
      </c>
      <c r="DQ174" s="9">
        <v>3.6</v>
      </c>
      <c r="DR174" s="3">
        <v>3</v>
      </c>
      <c r="DS174" s="3">
        <v>2</v>
      </c>
      <c r="DT174" s="3">
        <v>4</v>
      </c>
      <c r="DU174" s="3">
        <v>4</v>
      </c>
      <c r="DV174" s="3">
        <v>3</v>
      </c>
      <c r="DW174" s="3">
        <v>2</v>
      </c>
      <c r="DX174" s="3">
        <v>3</v>
      </c>
      <c r="DY174" s="3">
        <v>3</v>
      </c>
      <c r="DZ174" s="3">
        <v>7</v>
      </c>
      <c r="EA174" s="3">
        <v>5</v>
      </c>
      <c r="EB174" s="3">
        <v>0</v>
      </c>
      <c r="EC174" s="3">
        <v>0</v>
      </c>
      <c r="ED174" s="9">
        <f>+IFERROR((SUM(EE174:EP174)/10),0)</f>
        <v>7.0900000000000007</v>
      </c>
      <c r="EE174" s="3">
        <v>6.3</v>
      </c>
      <c r="EF174" s="3">
        <v>6.3</v>
      </c>
      <c r="EG174" s="3">
        <v>7.3</v>
      </c>
      <c r="EH174" s="3">
        <v>8.3000000000000007</v>
      </c>
      <c r="EI174" s="3">
        <v>6.5</v>
      </c>
      <c r="EJ174" s="3">
        <v>7.4</v>
      </c>
      <c r="EK174" s="3">
        <v>8.5</v>
      </c>
      <c r="EL174" s="3">
        <v>7.6</v>
      </c>
      <c r="EM174" s="3">
        <v>6.9</v>
      </c>
      <c r="EN174" s="3">
        <v>5.8</v>
      </c>
      <c r="EO174" s="3">
        <v>0</v>
      </c>
      <c r="EP174" s="3">
        <v>0</v>
      </c>
      <c r="EQ174" s="89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97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102"/>
      <c r="FR174" s="102"/>
      <c r="GA174" s="34"/>
    </row>
    <row r="175" spans="1:187" x14ac:dyDescent="0.25">
      <c r="A175" s="6" t="s">
        <v>228</v>
      </c>
      <c r="B175" s="25" t="s">
        <v>229</v>
      </c>
      <c r="C175" s="1" t="s">
        <v>227</v>
      </c>
      <c r="D175" s="141">
        <f t="shared" si="39"/>
        <v>64.5</v>
      </c>
      <c r="E175" s="141">
        <v>55</v>
      </c>
      <c r="F175" s="141">
        <v>65</v>
      </c>
      <c r="G175" s="141">
        <v>73</v>
      </c>
      <c r="H175" s="141">
        <v>65</v>
      </c>
      <c r="P175" s="77"/>
      <c r="Q175" s="159">
        <f t="shared" si="40"/>
        <v>90.9</v>
      </c>
      <c r="R175" s="141">
        <v>85</v>
      </c>
      <c r="S175" s="141">
        <v>89</v>
      </c>
      <c r="T175" s="141">
        <v>92</v>
      </c>
      <c r="U175" s="141">
        <v>100</v>
      </c>
      <c r="V175" s="141">
        <v>94</v>
      </c>
      <c r="W175" s="141">
        <v>88</v>
      </c>
      <c r="X175" s="141">
        <v>97</v>
      </c>
      <c r="Y175" s="141">
        <v>94</v>
      </c>
      <c r="Z175" s="141">
        <v>91</v>
      </c>
      <c r="AA175" s="141">
        <v>79</v>
      </c>
      <c r="AB175" s="141">
        <v>0</v>
      </c>
      <c r="AC175" s="154">
        <v>0</v>
      </c>
      <c r="AD175" s="159">
        <v>81.400000000000006</v>
      </c>
      <c r="AE175" s="141">
        <v>62</v>
      </c>
      <c r="AF175" s="141">
        <v>64</v>
      </c>
      <c r="AG175" s="141">
        <v>84</v>
      </c>
      <c r="AH175" s="141">
        <v>85</v>
      </c>
      <c r="AI175" s="141">
        <v>84</v>
      </c>
      <c r="AJ175" s="141">
        <v>89</v>
      </c>
      <c r="AK175" s="141">
        <v>89</v>
      </c>
      <c r="AL175" s="141">
        <v>91</v>
      </c>
      <c r="AM175" s="141">
        <v>83</v>
      </c>
      <c r="AN175" s="141">
        <v>83</v>
      </c>
      <c r="AO175" s="141">
        <v>0</v>
      </c>
      <c r="AP175" s="141">
        <v>0</v>
      </c>
      <c r="AQ175" s="9">
        <f t="shared" si="41"/>
        <v>58</v>
      </c>
      <c r="AR175" s="3">
        <v>41</v>
      </c>
      <c r="AS175" s="3">
        <v>49</v>
      </c>
      <c r="AT175" s="3">
        <v>55</v>
      </c>
      <c r="AU175" s="3">
        <v>65</v>
      </c>
      <c r="AV175" s="3">
        <v>43</v>
      </c>
      <c r="AW175" s="3">
        <v>62</v>
      </c>
      <c r="AX175" s="3">
        <v>62</v>
      </c>
      <c r="AY175" s="3">
        <v>66</v>
      </c>
      <c r="AZ175" s="3">
        <v>67</v>
      </c>
      <c r="BA175" s="3">
        <v>67</v>
      </c>
      <c r="BB175" s="3">
        <v>3</v>
      </c>
      <c r="BC175" s="3">
        <v>0</v>
      </c>
      <c r="BD175" s="117">
        <v>34.299999999999997</v>
      </c>
      <c r="BE175" s="3">
        <v>20</v>
      </c>
      <c r="BF175" s="3">
        <v>19</v>
      </c>
      <c r="BG175" s="3">
        <v>22</v>
      </c>
      <c r="BH175" s="3">
        <v>23</v>
      </c>
      <c r="BI175" s="3">
        <v>24</v>
      </c>
      <c r="BJ175" s="3">
        <v>28</v>
      </c>
      <c r="BK175" s="3">
        <v>44</v>
      </c>
      <c r="BL175" s="3">
        <v>50</v>
      </c>
      <c r="BM175" s="3">
        <v>53</v>
      </c>
      <c r="BN175" s="3">
        <v>57</v>
      </c>
      <c r="BO175" s="3">
        <v>3</v>
      </c>
      <c r="BP175" s="20">
        <v>0</v>
      </c>
      <c r="BQ175" s="65">
        <v>36.9</v>
      </c>
      <c r="BR175" s="3">
        <v>61</v>
      </c>
      <c r="BS175" s="3">
        <v>35</v>
      </c>
      <c r="BT175" s="3">
        <v>32</v>
      </c>
      <c r="BU175" s="3">
        <v>35</v>
      </c>
      <c r="BV175" s="3">
        <v>30</v>
      </c>
      <c r="BW175" s="3">
        <v>37</v>
      </c>
      <c r="BX175" s="3">
        <v>40</v>
      </c>
      <c r="BY175" s="3">
        <v>35</v>
      </c>
      <c r="BZ175" s="3">
        <v>32</v>
      </c>
      <c r="CA175" s="3">
        <v>32</v>
      </c>
      <c r="CB175" s="3">
        <v>0</v>
      </c>
      <c r="CC175" s="3">
        <v>0</v>
      </c>
      <c r="CD175" s="16">
        <v>66.216999999999999</v>
      </c>
      <c r="CE175" s="3">
        <v>48</v>
      </c>
      <c r="CF175" s="3">
        <v>51</v>
      </c>
      <c r="CG175" s="3">
        <v>59</v>
      </c>
      <c r="CH175" s="3">
        <v>55</v>
      </c>
      <c r="CI175" s="3">
        <v>61</v>
      </c>
      <c r="CJ175" s="3">
        <v>70</v>
      </c>
      <c r="CK175" s="3">
        <v>83</v>
      </c>
      <c r="CL175" s="66">
        <v>78.75</v>
      </c>
      <c r="CM175" s="66">
        <v>83.13</v>
      </c>
      <c r="CN175" s="66">
        <v>73.290000000000006</v>
      </c>
      <c r="CO175" s="3">
        <v>0</v>
      </c>
      <c r="CP175" s="20">
        <v>0</v>
      </c>
      <c r="CQ175" s="9">
        <v>63.6</v>
      </c>
      <c r="CR175" s="3">
        <v>47</v>
      </c>
      <c r="CS175" s="3">
        <v>56</v>
      </c>
      <c r="CT175" s="3">
        <v>60</v>
      </c>
      <c r="CU175" s="3">
        <v>66</v>
      </c>
      <c r="CV175" s="3">
        <v>59</v>
      </c>
      <c r="CW175" s="3">
        <v>63</v>
      </c>
      <c r="CX175" s="3">
        <v>64</v>
      </c>
      <c r="CY175" s="3">
        <v>72</v>
      </c>
      <c r="CZ175" s="3">
        <v>76</v>
      </c>
      <c r="DA175" s="3">
        <v>67</v>
      </c>
      <c r="DB175" s="3">
        <v>3</v>
      </c>
      <c r="DC175" s="3">
        <v>3</v>
      </c>
      <c r="DD175" s="9">
        <v>54.2</v>
      </c>
      <c r="DE175" s="3">
        <v>44</v>
      </c>
      <c r="DF175" s="3">
        <v>45</v>
      </c>
      <c r="DG175" s="3">
        <v>49</v>
      </c>
      <c r="DH175" s="3">
        <v>58</v>
      </c>
      <c r="DI175" s="3">
        <v>64</v>
      </c>
      <c r="DJ175" s="3">
        <v>68</v>
      </c>
      <c r="DK175" s="3">
        <v>70</v>
      </c>
      <c r="DL175" s="3">
        <v>52</v>
      </c>
      <c r="DM175" s="3">
        <v>44</v>
      </c>
      <c r="DN175" s="3">
        <v>47</v>
      </c>
      <c r="DO175" s="3">
        <v>1</v>
      </c>
      <c r="DP175" s="20">
        <v>0</v>
      </c>
      <c r="DQ175" s="9">
        <v>9.8000000000000007</v>
      </c>
      <c r="DR175" s="3">
        <v>0</v>
      </c>
      <c r="DS175" s="3">
        <v>0</v>
      </c>
      <c r="DT175" s="3">
        <v>5</v>
      </c>
      <c r="DU175" s="3">
        <v>13</v>
      </c>
      <c r="DV175" s="3">
        <v>14</v>
      </c>
      <c r="DW175" s="3">
        <v>13</v>
      </c>
      <c r="DX175" s="3">
        <v>10</v>
      </c>
      <c r="DY175" s="3">
        <v>11</v>
      </c>
      <c r="DZ175" s="3">
        <v>14</v>
      </c>
      <c r="EA175" s="3">
        <v>18</v>
      </c>
      <c r="EB175" s="3">
        <v>0</v>
      </c>
      <c r="EC175" s="3">
        <v>0</v>
      </c>
      <c r="ED175" s="89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Q175" s="89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97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102"/>
      <c r="FR175" s="102"/>
      <c r="GA175" s="34"/>
    </row>
    <row r="176" spans="1:187" x14ac:dyDescent="0.25">
      <c r="A176" s="6" t="s">
        <v>87</v>
      </c>
      <c r="B176" s="68" t="s">
        <v>61</v>
      </c>
      <c r="C176" s="1" t="s">
        <v>68</v>
      </c>
      <c r="D176" s="141">
        <f t="shared" si="39"/>
        <v>85.240000000000009</v>
      </c>
      <c r="E176" s="141">
        <v>74.760000000000005</v>
      </c>
      <c r="F176" s="141">
        <v>80.48</v>
      </c>
      <c r="G176" s="141">
        <v>92.36</v>
      </c>
      <c r="H176" s="141">
        <v>93.36</v>
      </c>
      <c r="P176" s="77"/>
      <c r="Q176" s="159">
        <f t="shared" si="40"/>
        <v>87.99199999999999</v>
      </c>
      <c r="R176" s="141">
        <v>74.88</v>
      </c>
      <c r="S176" s="141">
        <v>82.64</v>
      </c>
      <c r="T176" s="141">
        <v>103.56</v>
      </c>
      <c r="U176" s="141">
        <v>84.64</v>
      </c>
      <c r="V176" s="141">
        <v>87.68</v>
      </c>
      <c r="W176" s="141">
        <v>80.680000000000007</v>
      </c>
      <c r="X176" s="141">
        <v>84.68</v>
      </c>
      <c r="Y176" s="141">
        <v>81.8</v>
      </c>
      <c r="Z176" s="141">
        <v>78.760000000000005</v>
      </c>
      <c r="AA176" s="141">
        <v>90.6</v>
      </c>
      <c r="AB176" s="141">
        <v>20</v>
      </c>
      <c r="AC176" s="154">
        <v>10</v>
      </c>
      <c r="AD176" s="159">
        <v>90.818000000000012</v>
      </c>
      <c r="AE176" s="141">
        <v>59.24</v>
      </c>
      <c r="AF176" s="141">
        <v>81.89</v>
      </c>
      <c r="AG176" s="141">
        <v>92.73</v>
      </c>
      <c r="AH176" s="141">
        <v>88.93</v>
      </c>
      <c r="AI176" s="141">
        <v>66.400000000000006</v>
      </c>
      <c r="AJ176" s="141">
        <v>86.77</v>
      </c>
      <c r="AK176" s="141">
        <v>94.65</v>
      </c>
      <c r="AL176" s="141">
        <v>94.81</v>
      </c>
      <c r="AM176" s="141">
        <v>92.16</v>
      </c>
      <c r="AN176" s="141">
        <v>93.04</v>
      </c>
      <c r="AO176" s="141">
        <v>32.56</v>
      </c>
      <c r="AP176" s="141">
        <v>25</v>
      </c>
      <c r="AQ176" s="9">
        <f t="shared" si="41"/>
        <v>81.152999999999992</v>
      </c>
      <c r="AR176" s="3">
        <v>56.36</v>
      </c>
      <c r="AS176" s="3">
        <v>72.650000000000006</v>
      </c>
      <c r="AT176" s="3">
        <v>78.73</v>
      </c>
      <c r="AU176" s="3">
        <v>88.73</v>
      </c>
      <c r="AV176" s="3">
        <v>73.680000000000007</v>
      </c>
      <c r="AW176" s="3">
        <v>79.849999999999994</v>
      </c>
      <c r="AX176" s="3">
        <v>80.89</v>
      </c>
      <c r="AY176" s="3">
        <v>78.36</v>
      </c>
      <c r="AZ176" s="3">
        <v>76.28</v>
      </c>
      <c r="BA176" s="3">
        <v>82.2</v>
      </c>
      <c r="BB176" s="3">
        <v>31.8</v>
      </c>
      <c r="BC176" s="3">
        <v>12</v>
      </c>
      <c r="BD176" s="117">
        <v>57.648000000000003</v>
      </c>
      <c r="BE176" s="3">
        <v>52.4</v>
      </c>
      <c r="BF176" s="3">
        <v>49.52</v>
      </c>
      <c r="BG176" s="3">
        <v>43.52</v>
      </c>
      <c r="BH176" s="3">
        <v>49.48</v>
      </c>
      <c r="BI176" s="3">
        <v>52.4</v>
      </c>
      <c r="BJ176" s="3">
        <v>57.36</v>
      </c>
      <c r="BK176" s="3">
        <v>57.32</v>
      </c>
      <c r="BL176" s="3">
        <v>62.4</v>
      </c>
      <c r="BM176" s="3">
        <v>56.48</v>
      </c>
      <c r="BN176" s="3">
        <v>54.6</v>
      </c>
      <c r="BO176" s="3">
        <v>25</v>
      </c>
      <c r="BP176" s="20">
        <v>16</v>
      </c>
      <c r="BQ176" s="65">
        <v>81.084000000000003</v>
      </c>
      <c r="BR176" s="3">
        <v>84.12</v>
      </c>
      <c r="BS176" s="3">
        <v>94.08</v>
      </c>
      <c r="BT176" s="3">
        <v>81.72</v>
      </c>
      <c r="BU176" s="3">
        <v>66.400000000000006</v>
      </c>
      <c r="BV176" s="3">
        <v>67.2</v>
      </c>
      <c r="BW176" s="3">
        <v>71.239999999999995</v>
      </c>
      <c r="BX176" s="3">
        <v>79.239999999999995</v>
      </c>
      <c r="BY176" s="3">
        <v>76.319999999999993</v>
      </c>
      <c r="BZ176" s="3">
        <v>64.400000000000006</v>
      </c>
      <c r="CA176" s="3">
        <v>76.319999999999993</v>
      </c>
      <c r="CB176" s="3">
        <v>37.840000000000003</v>
      </c>
      <c r="CC176" s="3">
        <v>11.96</v>
      </c>
      <c r="CD176" s="16">
        <v>87.566000000000003</v>
      </c>
      <c r="CE176" s="3">
        <v>66.8</v>
      </c>
      <c r="CF176" s="3">
        <v>64.78</v>
      </c>
      <c r="CG176" s="3">
        <v>76.44</v>
      </c>
      <c r="CH176" s="3">
        <v>83.36</v>
      </c>
      <c r="CI176" s="3">
        <v>79.14</v>
      </c>
      <c r="CJ176" s="3">
        <v>85.65</v>
      </c>
      <c r="CK176" s="3">
        <v>93.07</v>
      </c>
      <c r="CL176" s="66">
        <v>89.38</v>
      </c>
      <c r="CM176" s="66">
        <v>80.37</v>
      </c>
      <c r="CN176" s="66">
        <v>81.87</v>
      </c>
      <c r="CO176" s="3">
        <v>48.8</v>
      </c>
      <c r="CP176" s="20">
        <v>26</v>
      </c>
      <c r="CQ176" s="9">
        <v>88.81</v>
      </c>
      <c r="CR176" s="3">
        <v>66.36</v>
      </c>
      <c r="CS176" s="3">
        <v>80.19</v>
      </c>
      <c r="CT176" s="3">
        <v>88.36</v>
      </c>
      <c r="CU176" s="3">
        <v>92.32</v>
      </c>
      <c r="CV176" s="3">
        <v>82.31</v>
      </c>
      <c r="CW176" s="3">
        <v>85.3</v>
      </c>
      <c r="CX176" s="3">
        <v>85.14</v>
      </c>
      <c r="CY176" s="3">
        <v>88.85</v>
      </c>
      <c r="CZ176" s="3">
        <v>79.89</v>
      </c>
      <c r="DA176" s="3">
        <v>81.38</v>
      </c>
      <c r="DB176" s="3">
        <v>47</v>
      </c>
      <c r="DC176" s="3">
        <v>11</v>
      </c>
      <c r="DD176" s="9">
        <v>94.144000000000005</v>
      </c>
      <c r="DE176" s="3">
        <v>73.48</v>
      </c>
      <c r="DF176" s="3">
        <v>81.81</v>
      </c>
      <c r="DG176" s="3">
        <v>83.04</v>
      </c>
      <c r="DH176" s="3">
        <v>88.35</v>
      </c>
      <c r="DI176" s="3">
        <v>74.09</v>
      </c>
      <c r="DJ176" s="3">
        <v>92.28</v>
      </c>
      <c r="DK176" s="3">
        <v>94.28</v>
      </c>
      <c r="DL176" s="3">
        <v>90.81</v>
      </c>
      <c r="DM176" s="3">
        <v>94.85</v>
      </c>
      <c r="DN176" s="3">
        <v>88.01</v>
      </c>
      <c r="DO176" s="3">
        <v>51.44</v>
      </c>
      <c r="DP176" s="20">
        <v>29</v>
      </c>
      <c r="DQ176" s="9">
        <v>95.486000000000018</v>
      </c>
      <c r="DR176" s="3">
        <v>71</v>
      </c>
      <c r="DS176" s="3">
        <v>83.73</v>
      </c>
      <c r="DT176" s="3">
        <v>91.73</v>
      </c>
      <c r="DU176" s="3">
        <v>89.6</v>
      </c>
      <c r="DV176" s="3">
        <v>90.6</v>
      </c>
      <c r="DW176" s="3">
        <v>99.4</v>
      </c>
      <c r="DX176" s="3">
        <v>106.96</v>
      </c>
      <c r="DY176" s="3">
        <v>96.96</v>
      </c>
      <c r="DZ176" s="3">
        <v>87.04</v>
      </c>
      <c r="EA176" s="3">
        <v>87.04</v>
      </c>
      <c r="EB176" s="3">
        <v>38.840000000000003</v>
      </c>
      <c r="EC176" s="3">
        <v>11.96</v>
      </c>
      <c r="ED176" s="9">
        <f t="shared" ref="ED176:ED186" si="42">+IFERROR((SUM(EE176:EP176)/10),0)</f>
        <v>108.74100000000001</v>
      </c>
      <c r="EE176" s="3">
        <v>61</v>
      </c>
      <c r="EF176" s="3">
        <v>96.2</v>
      </c>
      <c r="EG176" s="3">
        <v>106.2</v>
      </c>
      <c r="EH176" s="3">
        <v>99.2</v>
      </c>
      <c r="EI176" s="3">
        <v>95.07</v>
      </c>
      <c r="EJ176" s="3">
        <v>117.07</v>
      </c>
      <c r="EK176" s="3">
        <v>118.07</v>
      </c>
      <c r="EL176" s="3">
        <v>122.2</v>
      </c>
      <c r="EM176" s="3">
        <v>102.2</v>
      </c>
      <c r="EN176" s="3">
        <v>95.2</v>
      </c>
      <c r="EO176" s="3">
        <v>49</v>
      </c>
      <c r="EP176" s="3">
        <v>26</v>
      </c>
      <c r="EQ176" s="9">
        <f t="shared" ref="EQ176:EQ183" si="43">+IFERROR((SUM(ER176:FC176)/10),0)</f>
        <v>95.676999999999992</v>
      </c>
      <c r="ER176" s="3">
        <v>62</v>
      </c>
      <c r="ES176" s="3">
        <v>79</v>
      </c>
      <c r="ET176" s="3">
        <v>88</v>
      </c>
      <c r="EU176" s="3">
        <v>88</v>
      </c>
      <c r="EV176" s="3">
        <v>78.06</v>
      </c>
      <c r="EW176" s="3">
        <v>98.06</v>
      </c>
      <c r="EX176" s="3">
        <v>96.06</v>
      </c>
      <c r="EY176" s="3">
        <v>105.53</v>
      </c>
      <c r="EZ176" s="3">
        <v>105.53</v>
      </c>
      <c r="FA176" s="3">
        <v>100.53</v>
      </c>
      <c r="FB176" s="3">
        <v>40</v>
      </c>
      <c r="FC176" s="3">
        <v>16</v>
      </c>
      <c r="FD176" s="69">
        <f t="shared" si="29"/>
        <v>92.160999999999987</v>
      </c>
      <c r="FE176" s="3">
        <v>62</v>
      </c>
      <c r="FF176" s="3">
        <v>90</v>
      </c>
      <c r="FG176" s="3">
        <v>97</v>
      </c>
      <c r="FH176" s="3">
        <v>85</v>
      </c>
      <c r="FI176" s="3">
        <v>77.650000000000006</v>
      </c>
      <c r="FJ176" s="3">
        <v>83.16</v>
      </c>
      <c r="FK176" s="3">
        <v>99.61</v>
      </c>
      <c r="FL176" s="3">
        <v>103.53</v>
      </c>
      <c r="FM176" s="3">
        <v>99.66</v>
      </c>
      <c r="FN176" s="3">
        <v>71</v>
      </c>
      <c r="FO176" s="3">
        <v>38</v>
      </c>
      <c r="FP176" s="3">
        <v>15</v>
      </c>
      <c r="FQ176" s="102"/>
      <c r="FR176" s="102"/>
      <c r="GA176" s="34"/>
    </row>
    <row r="177" spans="1:183" x14ac:dyDescent="0.25">
      <c r="A177" s="6" t="s">
        <v>126</v>
      </c>
      <c r="B177" s="25" t="s">
        <v>115</v>
      </c>
      <c r="C177" s="1" t="s">
        <v>306</v>
      </c>
      <c r="D177" s="141">
        <f t="shared" si="39"/>
        <v>1.25</v>
      </c>
      <c r="E177" s="141">
        <v>1</v>
      </c>
      <c r="F177" s="141">
        <v>1</v>
      </c>
      <c r="G177" s="141">
        <v>1</v>
      </c>
      <c r="H177" s="141">
        <v>2</v>
      </c>
      <c r="P177" s="77"/>
      <c r="Q177" s="159">
        <f t="shared" si="40"/>
        <v>3.9</v>
      </c>
      <c r="R177" s="141">
        <v>1</v>
      </c>
      <c r="S177" s="141">
        <v>4</v>
      </c>
      <c r="T177" s="141">
        <v>5</v>
      </c>
      <c r="U177" s="141">
        <v>5</v>
      </c>
      <c r="V177" s="141">
        <v>2</v>
      </c>
      <c r="W177" s="141">
        <v>5</v>
      </c>
      <c r="X177" s="141">
        <v>6</v>
      </c>
      <c r="Y177" s="141">
        <v>4</v>
      </c>
      <c r="Z177" s="141">
        <v>3</v>
      </c>
      <c r="AA177" s="141">
        <v>3</v>
      </c>
      <c r="AB177" s="141">
        <v>0</v>
      </c>
      <c r="AC177" s="154">
        <v>1</v>
      </c>
      <c r="AD177" s="159">
        <v>2.9</v>
      </c>
      <c r="AE177" s="141">
        <v>3</v>
      </c>
      <c r="AF177" s="141">
        <v>3</v>
      </c>
      <c r="AG177" s="141">
        <v>4</v>
      </c>
      <c r="AH177" s="141">
        <v>3</v>
      </c>
      <c r="AI177" s="141">
        <v>5</v>
      </c>
      <c r="AJ177" s="141">
        <v>3</v>
      </c>
      <c r="AK177" s="141">
        <v>2</v>
      </c>
      <c r="AL177" s="141">
        <v>3</v>
      </c>
      <c r="AM177" s="141">
        <v>2</v>
      </c>
      <c r="AN177" s="141">
        <v>0</v>
      </c>
      <c r="AO177" s="141">
        <v>0</v>
      </c>
      <c r="AP177" s="141">
        <v>1</v>
      </c>
      <c r="AQ177" s="9">
        <f t="shared" si="41"/>
        <v>7.1</v>
      </c>
      <c r="AR177" s="3">
        <v>4</v>
      </c>
      <c r="AS177" s="3">
        <v>8</v>
      </c>
      <c r="AT177" s="3">
        <v>10</v>
      </c>
      <c r="AU177" s="3">
        <v>10</v>
      </c>
      <c r="AV177" s="3">
        <v>12</v>
      </c>
      <c r="AW177" s="3">
        <v>6</v>
      </c>
      <c r="AX177" s="3">
        <v>6</v>
      </c>
      <c r="AY177" s="3">
        <v>5</v>
      </c>
      <c r="AZ177" s="3">
        <v>6</v>
      </c>
      <c r="BA177" s="3">
        <v>4</v>
      </c>
      <c r="BB177" s="3">
        <v>0</v>
      </c>
      <c r="BC177" s="3">
        <v>0</v>
      </c>
      <c r="BD177" s="117">
        <v>2.7</v>
      </c>
      <c r="BE177" s="3">
        <v>1</v>
      </c>
      <c r="BF177" s="3">
        <v>3</v>
      </c>
      <c r="BG177" s="3">
        <v>2</v>
      </c>
      <c r="BH177" s="3">
        <v>2</v>
      </c>
      <c r="BI177" s="3">
        <v>3</v>
      </c>
      <c r="BJ177" s="3">
        <v>2</v>
      </c>
      <c r="BK177" s="3">
        <v>5</v>
      </c>
      <c r="BL177" s="3">
        <v>3</v>
      </c>
      <c r="BM177" s="3">
        <v>3</v>
      </c>
      <c r="BN177" s="3">
        <v>3</v>
      </c>
      <c r="BO177" s="3">
        <v>0</v>
      </c>
      <c r="BP177" s="20">
        <v>0</v>
      </c>
      <c r="BQ177" s="65">
        <v>2.2000000000000002</v>
      </c>
      <c r="BR177" s="3">
        <v>0</v>
      </c>
      <c r="BS177" s="3">
        <v>0</v>
      </c>
      <c r="BT177" s="3">
        <v>2</v>
      </c>
      <c r="BU177" s="3">
        <v>2</v>
      </c>
      <c r="BV177" s="3">
        <v>1</v>
      </c>
      <c r="BW177" s="3">
        <v>4</v>
      </c>
      <c r="BX177" s="3">
        <v>3</v>
      </c>
      <c r="BY177" s="3">
        <v>4</v>
      </c>
      <c r="BZ177" s="3">
        <v>3</v>
      </c>
      <c r="CA177" s="3">
        <v>3</v>
      </c>
      <c r="CB177" s="3">
        <v>0</v>
      </c>
      <c r="CC177" s="3">
        <v>0</v>
      </c>
      <c r="CD177" s="16">
        <v>5.0010000000000003</v>
      </c>
      <c r="CE177" s="3">
        <v>1</v>
      </c>
      <c r="CF177" s="3">
        <v>2</v>
      </c>
      <c r="CG177" s="3">
        <v>3</v>
      </c>
      <c r="CH177" s="3">
        <v>7</v>
      </c>
      <c r="CI177" s="3">
        <v>5</v>
      </c>
      <c r="CJ177" s="3">
        <v>8</v>
      </c>
      <c r="CK177" s="3">
        <v>4</v>
      </c>
      <c r="CL177" s="66">
        <v>4</v>
      </c>
      <c r="CM177" s="66">
        <v>6.67</v>
      </c>
      <c r="CN177" s="66">
        <v>9.34</v>
      </c>
      <c r="CO177" s="3">
        <v>0</v>
      </c>
      <c r="CP177" s="20">
        <v>0</v>
      </c>
      <c r="CQ177" s="9">
        <v>3.6</v>
      </c>
      <c r="CR177" s="3">
        <v>2</v>
      </c>
      <c r="CS177" s="3">
        <v>2</v>
      </c>
      <c r="CT177" s="3">
        <v>3</v>
      </c>
      <c r="CU177" s="3">
        <v>3</v>
      </c>
      <c r="CV177" s="3">
        <v>3</v>
      </c>
      <c r="CW177" s="3">
        <v>2</v>
      </c>
      <c r="CX177" s="3">
        <v>6</v>
      </c>
      <c r="CY177" s="3">
        <v>3</v>
      </c>
      <c r="CZ177" s="3">
        <v>5</v>
      </c>
      <c r="DA177" s="3">
        <v>7</v>
      </c>
      <c r="DB177" s="3">
        <v>0</v>
      </c>
      <c r="DC177" s="3">
        <v>0</v>
      </c>
      <c r="DD177" s="9">
        <v>4.2</v>
      </c>
      <c r="DE177" s="3">
        <v>2</v>
      </c>
      <c r="DF177" s="3">
        <v>3</v>
      </c>
      <c r="DG177" s="3">
        <v>4</v>
      </c>
      <c r="DH177" s="3">
        <v>5</v>
      </c>
      <c r="DI177" s="3">
        <v>6</v>
      </c>
      <c r="DJ177" s="3">
        <v>5</v>
      </c>
      <c r="DK177" s="3">
        <v>4</v>
      </c>
      <c r="DL177" s="3">
        <v>4</v>
      </c>
      <c r="DM177" s="3">
        <v>4</v>
      </c>
      <c r="DN177" s="3">
        <v>5</v>
      </c>
      <c r="DO177" s="3">
        <v>0</v>
      </c>
      <c r="DP177" s="20">
        <v>0</v>
      </c>
      <c r="DQ177" s="9">
        <v>2</v>
      </c>
      <c r="DR177" s="3">
        <v>1</v>
      </c>
      <c r="DS177" s="3">
        <v>0</v>
      </c>
      <c r="DT177" s="3">
        <v>2</v>
      </c>
      <c r="DU177" s="3">
        <v>1</v>
      </c>
      <c r="DV177" s="3">
        <v>1</v>
      </c>
      <c r="DW177" s="3">
        <v>6</v>
      </c>
      <c r="DX177" s="3">
        <v>2</v>
      </c>
      <c r="DY177" s="3">
        <v>2</v>
      </c>
      <c r="DZ177" s="3">
        <v>2</v>
      </c>
      <c r="EA177" s="3">
        <v>3</v>
      </c>
      <c r="EB177" s="3">
        <v>0</v>
      </c>
      <c r="EC177" s="3">
        <v>0</v>
      </c>
      <c r="ED177" s="9">
        <f t="shared" si="42"/>
        <v>1.4</v>
      </c>
      <c r="EE177" s="3">
        <v>5</v>
      </c>
      <c r="EF177" s="3">
        <v>5</v>
      </c>
      <c r="EG177" s="3">
        <v>3</v>
      </c>
      <c r="EH177" s="3">
        <v>0</v>
      </c>
      <c r="EI177" s="3">
        <v>0</v>
      </c>
      <c r="EJ177" s="3">
        <v>0</v>
      </c>
      <c r="EK177" s="3">
        <v>0</v>
      </c>
      <c r="EL177" s="3">
        <v>1</v>
      </c>
      <c r="EM177" s="3">
        <v>0</v>
      </c>
      <c r="EN177" s="3">
        <v>0</v>
      </c>
      <c r="EO177" s="3">
        <v>0</v>
      </c>
      <c r="EP177" s="3">
        <v>0</v>
      </c>
      <c r="EQ177" s="9">
        <f t="shared" si="43"/>
        <v>7.9</v>
      </c>
      <c r="ER177" s="3">
        <v>2</v>
      </c>
      <c r="ES177" s="3">
        <v>3</v>
      </c>
      <c r="ET177" s="3">
        <v>4</v>
      </c>
      <c r="EU177" s="3">
        <v>6</v>
      </c>
      <c r="EV177" s="3">
        <v>5</v>
      </c>
      <c r="EW177" s="3">
        <v>8</v>
      </c>
      <c r="EX177" s="3">
        <v>3</v>
      </c>
      <c r="EY177" s="3">
        <v>15</v>
      </c>
      <c r="EZ177" s="3">
        <v>15</v>
      </c>
      <c r="FA177" s="3">
        <v>10</v>
      </c>
      <c r="FB177" s="3">
        <v>8</v>
      </c>
      <c r="FC177" s="3">
        <v>0</v>
      </c>
      <c r="FD177" s="69">
        <f t="shared" si="29"/>
        <v>0.2</v>
      </c>
      <c r="FE177" s="3"/>
      <c r="FF177" s="3"/>
      <c r="FG177" s="3"/>
      <c r="FH177" s="3"/>
      <c r="FI177" s="3"/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1</v>
      </c>
      <c r="FP177" s="3">
        <v>1</v>
      </c>
      <c r="FQ177" s="102"/>
      <c r="FR177" s="102"/>
      <c r="GA177" s="34"/>
    </row>
    <row r="178" spans="1:183" x14ac:dyDescent="0.25">
      <c r="A178" s="6" t="s">
        <v>303</v>
      </c>
      <c r="B178" s="25" t="s">
        <v>308</v>
      </c>
      <c r="C178" s="1" t="s">
        <v>307</v>
      </c>
      <c r="D178" s="141">
        <f t="shared" si="39"/>
        <v>0</v>
      </c>
      <c r="E178" s="141">
        <v>0</v>
      </c>
      <c r="F178" s="141">
        <v>0</v>
      </c>
      <c r="G178" s="141">
        <v>0</v>
      </c>
      <c r="H178" s="141">
        <v>0</v>
      </c>
      <c r="P178" s="77"/>
      <c r="Q178" s="159">
        <f t="shared" si="40"/>
        <v>16.600000000000001</v>
      </c>
      <c r="R178" s="141">
        <v>11</v>
      </c>
      <c r="S178" s="141">
        <v>14</v>
      </c>
      <c r="T178" s="141">
        <v>18</v>
      </c>
      <c r="U178" s="141">
        <v>18</v>
      </c>
      <c r="V178" s="141">
        <v>18</v>
      </c>
      <c r="W178" s="141">
        <v>17</v>
      </c>
      <c r="X178" s="141">
        <v>21</v>
      </c>
      <c r="Y178" s="141">
        <v>17</v>
      </c>
      <c r="Z178" s="141">
        <v>16</v>
      </c>
      <c r="AA178" s="141">
        <v>16</v>
      </c>
      <c r="AB178" s="141">
        <v>0</v>
      </c>
      <c r="AC178" s="154">
        <v>0</v>
      </c>
      <c r="AD178" s="159">
        <v>17.2</v>
      </c>
      <c r="AE178" s="141">
        <v>9</v>
      </c>
      <c r="AF178" s="141">
        <v>17</v>
      </c>
      <c r="AG178" s="141">
        <v>17</v>
      </c>
      <c r="AH178" s="141">
        <v>19</v>
      </c>
      <c r="AI178" s="141">
        <v>19</v>
      </c>
      <c r="AJ178" s="141">
        <v>8</v>
      </c>
      <c r="AK178" s="141">
        <v>21</v>
      </c>
      <c r="AL178" s="141">
        <v>21</v>
      </c>
      <c r="AM178" s="141">
        <v>22</v>
      </c>
      <c r="AN178" s="141">
        <v>19</v>
      </c>
      <c r="AO178" s="141">
        <v>0</v>
      </c>
      <c r="AP178" s="141">
        <v>0</v>
      </c>
      <c r="AQ178" s="9">
        <f t="shared" si="41"/>
        <v>39.700000000000003</v>
      </c>
      <c r="AR178" s="3">
        <v>36</v>
      </c>
      <c r="AS178" s="3">
        <v>35</v>
      </c>
      <c r="AT178" s="3">
        <v>37</v>
      </c>
      <c r="AU178" s="3">
        <v>40</v>
      </c>
      <c r="AV178" s="3">
        <v>40</v>
      </c>
      <c r="AW178" s="3">
        <v>41</v>
      </c>
      <c r="AX178" s="3">
        <v>25</v>
      </c>
      <c r="AY178" s="3">
        <v>35</v>
      </c>
      <c r="AZ178" s="3">
        <v>38</v>
      </c>
      <c r="BA178" s="3">
        <v>30</v>
      </c>
      <c r="BB178" s="3">
        <v>29</v>
      </c>
      <c r="BC178" s="3">
        <v>11</v>
      </c>
      <c r="BD178" s="117">
        <v>18.100000000000001</v>
      </c>
      <c r="BE178" s="3">
        <v>14</v>
      </c>
      <c r="BF178" s="3">
        <v>14</v>
      </c>
      <c r="BG178" s="3">
        <v>0</v>
      </c>
      <c r="BH178" s="3">
        <v>0</v>
      </c>
      <c r="BI178" s="3">
        <v>0</v>
      </c>
      <c r="BJ178" s="3">
        <v>0</v>
      </c>
      <c r="BK178" s="3">
        <v>19</v>
      </c>
      <c r="BL178" s="3">
        <v>19</v>
      </c>
      <c r="BM178" s="3">
        <v>19</v>
      </c>
      <c r="BN178" s="3">
        <v>32</v>
      </c>
      <c r="BO178" s="3">
        <v>32</v>
      </c>
      <c r="BP178" s="20">
        <v>32</v>
      </c>
      <c r="BQ178" s="65">
        <v>22.1</v>
      </c>
      <c r="BR178" s="3">
        <v>0</v>
      </c>
      <c r="BS178" s="3">
        <v>3</v>
      </c>
      <c r="BT178" s="3">
        <v>20</v>
      </c>
      <c r="BU178" s="3">
        <v>20</v>
      </c>
      <c r="BV178" s="3">
        <v>21</v>
      </c>
      <c r="BW178" s="3">
        <v>21</v>
      </c>
      <c r="BX178" s="3">
        <v>22</v>
      </c>
      <c r="BY178" s="3">
        <v>24</v>
      </c>
      <c r="BZ178" s="3">
        <v>24</v>
      </c>
      <c r="CA178" s="3">
        <v>24</v>
      </c>
      <c r="CB178" s="3">
        <v>22</v>
      </c>
      <c r="CC178" s="3">
        <v>20</v>
      </c>
      <c r="CD178" s="16">
        <v>10.1</v>
      </c>
      <c r="CE178" s="3">
        <v>29</v>
      </c>
      <c r="CF178" s="3">
        <v>28</v>
      </c>
      <c r="CG178" s="3">
        <v>26</v>
      </c>
      <c r="CH178" s="3">
        <v>0</v>
      </c>
      <c r="CI178" s="3">
        <v>0</v>
      </c>
      <c r="CJ178" s="3">
        <v>0</v>
      </c>
      <c r="CK178" s="3">
        <v>6</v>
      </c>
      <c r="CL178" s="66">
        <v>0</v>
      </c>
      <c r="CM178" s="66">
        <v>0</v>
      </c>
      <c r="CN178" s="66">
        <v>0</v>
      </c>
      <c r="CO178" s="3">
        <v>6</v>
      </c>
      <c r="CP178" s="20">
        <v>6</v>
      </c>
      <c r="CQ178" s="9">
        <v>9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30</v>
      </c>
      <c r="DB178" s="3">
        <v>30</v>
      </c>
      <c r="DC178" s="3">
        <v>30</v>
      </c>
      <c r="DD178" s="9">
        <v>0</v>
      </c>
      <c r="DE178" s="3"/>
      <c r="DF178" s="3"/>
      <c r="DG178" s="3"/>
      <c r="DH178" s="3"/>
      <c r="DI178" s="3"/>
      <c r="DJ178" s="3"/>
      <c r="DK178" s="3"/>
      <c r="DL178" s="3"/>
      <c r="DM178" s="3"/>
      <c r="DN178" s="3">
        <v>0</v>
      </c>
      <c r="DO178" s="3">
        <v>0</v>
      </c>
      <c r="DP178" s="20">
        <v>0</v>
      </c>
      <c r="DQ178" s="89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89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89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89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102"/>
      <c r="FR178" s="102"/>
      <c r="GA178" s="34"/>
    </row>
    <row r="179" spans="1:183" x14ac:dyDescent="0.25">
      <c r="A179" s="6" t="s">
        <v>159</v>
      </c>
      <c r="B179" s="68" t="s">
        <v>45</v>
      </c>
      <c r="C179" s="1" t="s">
        <v>46</v>
      </c>
      <c r="D179" s="141">
        <f t="shared" si="39"/>
        <v>0</v>
      </c>
      <c r="E179" s="141">
        <v>0</v>
      </c>
      <c r="F179" s="141">
        <v>0</v>
      </c>
      <c r="G179" s="141">
        <v>0</v>
      </c>
      <c r="H179" s="141">
        <v>0</v>
      </c>
      <c r="P179" s="77"/>
      <c r="Q179" s="159">
        <f t="shared" si="40"/>
        <v>0</v>
      </c>
      <c r="R179" s="141">
        <v>0</v>
      </c>
      <c r="S179" s="141">
        <v>0</v>
      </c>
      <c r="T179" s="141">
        <v>0</v>
      </c>
      <c r="U179" s="141">
        <v>0</v>
      </c>
      <c r="V179" s="141">
        <v>0</v>
      </c>
      <c r="W179" s="141">
        <v>0</v>
      </c>
      <c r="X179" s="141">
        <v>0</v>
      </c>
      <c r="Y179" s="141">
        <v>0</v>
      </c>
      <c r="Z179" s="141">
        <v>0</v>
      </c>
      <c r="AA179" s="141">
        <v>0</v>
      </c>
      <c r="AB179" s="141">
        <v>0</v>
      </c>
      <c r="AC179" s="154">
        <v>0</v>
      </c>
      <c r="AD179" s="159">
        <v>0.6</v>
      </c>
      <c r="AE179" s="141">
        <v>0</v>
      </c>
      <c r="AF179" s="141">
        <v>0</v>
      </c>
      <c r="AG179" s="141">
        <v>0</v>
      </c>
      <c r="AH179" s="141">
        <v>0</v>
      </c>
      <c r="AI179" s="141">
        <v>0</v>
      </c>
      <c r="AJ179" s="141">
        <v>0</v>
      </c>
      <c r="AK179" s="141">
        <v>0</v>
      </c>
      <c r="AL179" s="141">
        <v>1</v>
      </c>
      <c r="AM179" s="141">
        <v>1</v>
      </c>
      <c r="AN179" s="141">
        <v>2</v>
      </c>
      <c r="AO179" s="141">
        <v>2</v>
      </c>
      <c r="AP179" s="141">
        <v>0</v>
      </c>
      <c r="AQ179" s="9">
        <f t="shared" si="41"/>
        <v>0.1</v>
      </c>
      <c r="AR179" s="3">
        <v>0</v>
      </c>
      <c r="AS179" s="3">
        <v>1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117">
        <v>0.7</v>
      </c>
      <c r="BE179" s="3">
        <v>0</v>
      </c>
      <c r="BF179" s="3">
        <v>0</v>
      </c>
      <c r="BG179" s="3">
        <v>0</v>
      </c>
      <c r="BH179" s="3">
        <v>1</v>
      </c>
      <c r="BI179" s="3">
        <v>1</v>
      </c>
      <c r="BJ179" s="3">
        <v>1</v>
      </c>
      <c r="BK179" s="3">
        <v>1</v>
      </c>
      <c r="BL179" s="3">
        <v>1</v>
      </c>
      <c r="BM179" s="3">
        <v>1</v>
      </c>
      <c r="BN179" s="3">
        <v>1</v>
      </c>
      <c r="BO179" s="3">
        <v>0</v>
      </c>
      <c r="BP179" s="20">
        <v>0</v>
      </c>
      <c r="BQ179" s="65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16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66">
        <v>0</v>
      </c>
      <c r="CM179" s="66">
        <v>0</v>
      </c>
      <c r="CN179" s="66">
        <v>0</v>
      </c>
      <c r="CO179" s="3">
        <v>0</v>
      </c>
      <c r="CP179" s="20">
        <v>0</v>
      </c>
      <c r="CQ179" s="9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9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20">
        <v>0</v>
      </c>
      <c r="DQ179" s="9">
        <v>0.2</v>
      </c>
      <c r="DR179" s="3">
        <v>1</v>
      </c>
      <c r="DS179" s="3">
        <v>1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9">
        <f t="shared" si="42"/>
        <v>0.5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1</v>
      </c>
      <c r="EK179" s="3">
        <v>1</v>
      </c>
      <c r="EL179" s="3">
        <v>1</v>
      </c>
      <c r="EM179" s="3">
        <v>1</v>
      </c>
      <c r="EN179" s="3">
        <v>1</v>
      </c>
      <c r="EO179" s="3">
        <v>0</v>
      </c>
      <c r="EP179" s="3">
        <v>0</v>
      </c>
      <c r="EQ179" s="9">
        <f t="shared" si="43"/>
        <v>0.3</v>
      </c>
      <c r="ER179" s="3">
        <v>0</v>
      </c>
      <c r="ES179" s="3">
        <v>0</v>
      </c>
      <c r="ET179" s="3">
        <v>1</v>
      </c>
      <c r="EU179" s="3">
        <v>1</v>
      </c>
      <c r="EV179" s="3">
        <v>1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69">
        <f t="shared" si="29"/>
        <v>1.4</v>
      </c>
      <c r="FE179" s="3">
        <v>2</v>
      </c>
      <c r="FF179" s="3">
        <v>2</v>
      </c>
      <c r="FG179" s="3">
        <v>3</v>
      </c>
      <c r="FH179" s="3">
        <v>2</v>
      </c>
      <c r="FI179" s="3">
        <v>2</v>
      </c>
      <c r="FJ179" s="3">
        <v>1</v>
      </c>
      <c r="FK179" s="3">
        <v>1</v>
      </c>
      <c r="FL179" s="3">
        <v>1</v>
      </c>
      <c r="FM179" s="3">
        <v>0</v>
      </c>
      <c r="FN179" s="3">
        <v>0</v>
      </c>
      <c r="FO179" s="3">
        <v>0</v>
      </c>
      <c r="FP179" s="3">
        <v>0</v>
      </c>
      <c r="FQ179" s="16">
        <v>0.2</v>
      </c>
      <c r="FR179" s="102"/>
      <c r="GA179" s="34"/>
    </row>
    <row r="180" spans="1:183" x14ac:dyDescent="0.25">
      <c r="A180" s="6" t="s">
        <v>125</v>
      </c>
      <c r="B180" s="25" t="s">
        <v>120</v>
      </c>
      <c r="C180" s="1" t="s">
        <v>118</v>
      </c>
      <c r="D180" s="141">
        <f t="shared" si="39"/>
        <v>35</v>
      </c>
      <c r="E180" s="141">
        <v>29</v>
      </c>
      <c r="F180" s="141">
        <v>34</v>
      </c>
      <c r="G180" s="141">
        <v>39</v>
      </c>
      <c r="H180" s="141">
        <v>38</v>
      </c>
      <c r="P180" s="77"/>
      <c r="Q180" s="159">
        <f t="shared" si="40"/>
        <v>43.3</v>
      </c>
      <c r="R180" s="141">
        <v>29</v>
      </c>
      <c r="S180" s="141">
        <v>38</v>
      </c>
      <c r="T180" s="141">
        <v>44</v>
      </c>
      <c r="U180" s="141">
        <v>45</v>
      </c>
      <c r="V180" s="141">
        <v>41</v>
      </c>
      <c r="W180" s="141">
        <v>45</v>
      </c>
      <c r="X180" s="141">
        <v>48</v>
      </c>
      <c r="Y180" s="141">
        <v>46</v>
      </c>
      <c r="Z180" s="141">
        <v>41</v>
      </c>
      <c r="AA180" s="141">
        <v>34</v>
      </c>
      <c r="AB180" s="141">
        <v>14</v>
      </c>
      <c r="AC180" s="154">
        <v>8</v>
      </c>
      <c r="AD180" s="159">
        <v>33.200000000000003</v>
      </c>
      <c r="AE180" s="141">
        <v>17</v>
      </c>
      <c r="AF180" s="141">
        <v>23</v>
      </c>
      <c r="AG180" s="141">
        <v>26</v>
      </c>
      <c r="AH180" s="141">
        <v>27</v>
      </c>
      <c r="AI180" s="141">
        <v>27</v>
      </c>
      <c r="AJ180" s="141">
        <v>34</v>
      </c>
      <c r="AK180" s="141">
        <v>38</v>
      </c>
      <c r="AL180" s="141">
        <v>46</v>
      </c>
      <c r="AM180" s="141">
        <v>44</v>
      </c>
      <c r="AN180" s="141">
        <v>33</v>
      </c>
      <c r="AO180" s="141">
        <v>13</v>
      </c>
      <c r="AP180" s="141">
        <v>4</v>
      </c>
      <c r="AQ180" s="9">
        <f t="shared" si="41"/>
        <v>24.9</v>
      </c>
      <c r="AR180" s="3">
        <v>16</v>
      </c>
      <c r="AS180" s="3">
        <v>19</v>
      </c>
      <c r="AT180" s="3">
        <v>20</v>
      </c>
      <c r="AU180" s="3">
        <v>26</v>
      </c>
      <c r="AV180" s="3">
        <v>24</v>
      </c>
      <c r="AW180" s="3">
        <v>23</v>
      </c>
      <c r="AX180" s="3">
        <v>28</v>
      </c>
      <c r="AY180" s="3">
        <v>27</v>
      </c>
      <c r="AZ180" s="3">
        <v>29</v>
      </c>
      <c r="BA180" s="3">
        <v>23</v>
      </c>
      <c r="BB180" s="3">
        <v>10</v>
      </c>
      <c r="BC180" s="3">
        <v>4</v>
      </c>
      <c r="BD180" s="117">
        <v>36.4</v>
      </c>
      <c r="BE180" s="3">
        <v>20</v>
      </c>
      <c r="BF180" s="3">
        <v>27</v>
      </c>
      <c r="BG180" s="3">
        <v>31</v>
      </c>
      <c r="BH180" s="3">
        <v>39</v>
      </c>
      <c r="BI180" s="3">
        <v>37</v>
      </c>
      <c r="BJ180" s="3">
        <v>37</v>
      </c>
      <c r="BK180" s="3">
        <v>40</v>
      </c>
      <c r="BL180" s="3">
        <v>42</v>
      </c>
      <c r="BM180" s="3">
        <v>38</v>
      </c>
      <c r="BN180" s="3">
        <v>25</v>
      </c>
      <c r="BO180" s="3">
        <v>16</v>
      </c>
      <c r="BP180" s="20">
        <v>12</v>
      </c>
      <c r="BQ180" s="65">
        <v>26.6</v>
      </c>
      <c r="BR180" s="3">
        <v>24</v>
      </c>
      <c r="BS180" s="3">
        <v>21</v>
      </c>
      <c r="BT180" s="3">
        <v>25</v>
      </c>
      <c r="BU180" s="3">
        <v>26</v>
      </c>
      <c r="BV180" s="3">
        <v>28</v>
      </c>
      <c r="BW180" s="3">
        <v>24</v>
      </c>
      <c r="BX180" s="3">
        <v>26</v>
      </c>
      <c r="BY180" s="3">
        <v>28</v>
      </c>
      <c r="BZ180" s="3">
        <v>24</v>
      </c>
      <c r="CA180" s="3">
        <v>22</v>
      </c>
      <c r="CB180" s="3">
        <v>10</v>
      </c>
      <c r="CC180" s="3">
        <v>8</v>
      </c>
      <c r="CD180" s="16">
        <v>38.414000000000001</v>
      </c>
      <c r="CE180" s="3">
        <v>25</v>
      </c>
      <c r="CF180" s="3">
        <v>25</v>
      </c>
      <c r="CG180" s="3">
        <v>31</v>
      </c>
      <c r="CH180" s="3">
        <v>37</v>
      </c>
      <c r="CI180" s="3">
        <v>37</v>
      </c>
      <c r="CJ180" s="3">
        <v>38</v>
      </c>
      <c r="CK180" s="3">
        <v>41</v>
      </c>
      <c r="CL180" s="66">
        <v>42.38</v>
      </c>
      <c r="CM180" s="66">
        <v>43.84</v>
      </c>
      <c r="CN180" s="66">
        <v>40.92</v>
      </c>
      <c r="CO180" s="3">
        <v>15</v>
      </c>
      <c r="CP180" s="20">
        <v>8</v>
      </c>
      <c r="CQ180" s="9">
        <v>28.5</v>
      </c>
      <c r="CR180" s="3">
        <v>18</v>
      </c>
      <c r="CS180" s="3">
        <v>23</v>
      </c>
      <c r="CT180" s="3">
        <v>27</v>
      </c>
      <c r="CU180" s="3">
        <v>29</v>
      </c>
      <c r="CV180" s="3">
        <v>28</v>
      </c>
      <c r="CW180" s="3">
        <v>27</v>
      </c>
      <c r="CX180" s="3">
        <v>26</v>
      </c>
      <c r="CY180" s="3">
        <v>29</v>
      </c>
      <c r="CZ180" s="3">
        <v>30</v>
      </c>
      <c r="DA180" s="3">
        <v>28</v>
      </c>
      <c r="DB180" s="3">
        <v>12</v>
      </c>
      <c r="DC180" s="3">
        <v>8</v>
      </c>
      <c r="DD180" s="9">
        <v>18.2</v>
      </c>
      <c r="DE180" s="3">
        <v>16</v>
      </c>
      <c r="DF180" s="3">
        <v>16</v>
      </c>
      <c r="DG180" s="3">
        <v>18</v>
      </c>
      <c r="DH180" s="3">
        <v>15</v>
      </c>
      <c r="DI180" s="3">
        <v>15</v>
      </c>
      <c r="DJ180" s="3">
        <v>13</v>
      </c>
      <c r="DK180" s="3">
        <v>14</v>
      </c>
      <c r="DL180" s="3">
        <v>16</v>
      </c>
      <c r="DM180" s="3">
        <v>18</v>
      </c>
      <c r="DN180" s="3">
        <v>21</v>
      </c>
      <c r="DO180" s="3">
        <v>11</v>
      </c>
      <c r="DP180" s="20">
        <v>9</v>
      </c>
      <c r="DQ180" s="9">
        <v>18.5</v>
      </c>
      <c r="DR180" s="3">
        <v>7</v>
      </c>
      <c r="DS180" s="3">
        <v>8</v>
      </c>
      <c r="DT180" s="3">
        <v>13</v>
      </c>
      <c r="DU180" s="3">
        <v>13</v>
      </c>
      <c r="DV180" s="3">
        <v>14</v>
      </c>
      <c r="DW180" s="3">
        <v>18</v>
      </c>
      <c r="DX180" s="3">
        <v>23</v>
      </c>
      <c r="DY180" s="3">
        <v>25</v>
      </c>
      <c r="DZ180" s="3">
        <v>25</v>
      </c>
      <c r="EA180" s="3">
        <v>24</v>
      </c>
      <c r="EB180" s="3">
        <v>13</v>
      </c>
      <c r="EC180" s="3">
        <v>2</v>
      </c>
      <c r="ED180" s="9">
        <f t="shared" si="42"/>
        <v>6.5</v>
      </c>
      <c r="EE180" s="3">
        <v>6</v>
      </c>
      <c r="EF180" s="3">
        <v>4</v>
      </c>
      <c r="EG180" s="3">
        <v>4</v>
      </c>
      <c r="EH180" s="3">
        <v>3</v>
      </c>
      <c r="EI180" s="3">
        <v>3</v>
      </c>
      <c r="EJ180" s="3">
        <v>1</v>
      </c>
      <c r="EK180" s="3">
        <v>3</v>
      </c>
      <c r="EL180" s="3">
        <v>7</v>
      </c>
      <c r="EM180" s="3">
        <v>15</v>
      </c>
      <c r="EN180" s="3">
        <v>13</v>
      </c>
      <c r="EO180" s="3">
        <v>5</v>
      </c>
      <c r="EP180" s="3">
        <v>1</v>
      </c>
      <c r="EQ180" s="9">
        <f t="shared" si="43"/>
        <v>13.3</v>
      </c>
      <c r="ER180" s="3">
        <v>8</v>
      </c>
      <c r="ES180" s="3">
        <v>9</v>
      </c>
      <c r="ET180" s="3">
        <v>10</v>
      </c>
      <c r="EU180" s="3">
        <v>12</v>
      </c>
      <c r="EV180" s="3">
        <v>12</v>
      </c>
      <c r="EW180" s="3">
        <v>16</v>
      </c>
      <c r="EX180" s="3">
        <v>16</v>
      </c>
      <c r="EY180" s="3">
        <v>14</v>
      </c>
      <c r="EZ180" s="3">
        <v>16</v>
      </c>
      <c r="FA180" s="3">
        <v>10</v>
      </c>
      <c r="FB180" s="3">
        <v>6</v>
      </c>
      <c r="FC180" s="3">
        <v>4</v>
      </c>
      <c r="FD180" s="69">
        <f t="shared" si="29"/>
        <v>10.9</v>
      </c>
      <c r="FE180" s="3"/>
      <c r="FF180" s="3"/>
      <c r="FG180" s="3"/>
      <c r="FH180" s="3"/>
      <c r="FI180" s="3"/>
      <c r="FJ180" s="3"/>
      <c r="FK180" s="3">
        <v>23</v>
      </c>
      <c r="FL180" s="3">
        <v>26</v>
      </c>
      <c r="FM180" s="3">
        <v>30</v>
      </c>
      <c r="FN180" s="3">
        <v>17</v>
      </c>
      <c r="FO180" s="3">
        <v>9</v>
      </c>
      <c r="FP180" s="3">
        <v>4</v>
      </c>
      <c r="FQ180" s="102"/>
      <c r="FR180" s="102"/>
      <c r="GA180" s="34"/>
    </row>
    <row r="181" spans="1:183" x14ac:dyDescent="0.25">
      <c r="A181" s="6" t="s">
        <v>159</v>
      </c>
      <c r="B181" s="68" t="s">
        <v>47</v>
      </c>
      <c r="C181" s="1" t="s">
        <v>48</v>
      </c>
      <c r="D181" s="141">
        <f t="shared" si="39"/>
        <v>0</v>
      </c>
      <c r="E181" s="141">
        <v>0</v>
      </c>
      <c r="F181" s="141">
        <v>0</v>
      </c>
      <c r="G181" s="141">
        <v>0</v>
      </c>
      <c r="H181" s="141">
        <v>0</v>
      </c>
      <c r="P181" s="77"/>
      <c r="Q181" s="159">
        <f t="shared" si="40"/>
        <v>0</v>
      </c>
      <c r="R181" s="141">
        <v>0</v>
      </c>
      <c r="S181" s="141">
        <v>0</v>
      </c>
      <c r="T181" s="141">
        <v>0</v>
      </c>
      <c r="U181" s="141">
        <v>0</v>
      </c>
      <c r="V181" s="141">
        <v>0</v>
      </c>
      <c r="W181" s="141">
        <v>0</v>
      </c>
      <c r="X181" s="141">
        <v>0</v>
      </c>
      <c r="Y181" s="141">
        <v>0</v>
      </c>
      <c r="Z181" s="141">
        <v>0</v>
      </c>
      <c r="AA181" s="141">
        <v>0</v>
      </c>
      <c r="AB181" s="141">
        <v>0</v>
      </c>
      <c r="AC181" s="154">
        <v>0</v>
      </c>
      <c r="AD181" s="159">
        <v>0</v>
      </c>
      <c r="AE181" s="141">
        <v>0</v>
      </c>
      <c r="AF181" s="141">
        <v>0</v>
      </c>
      <c r="AG181" s="141">
        <v>0</v>
      </c>
      <c r="AH181" s="141">
        <v>0</v>
      </c>
      <c r="AI181" s="141">
        <v>0</v>
      </c>
      <c r="AJ181" s="141">
        <v>0</v>
      </c>
      <c r="AK181" s="141">
        <v>0</v>
      </c>
      <c r="AL181" s="141">
        <v>0</v>
      </c>
      <c r="AM181" s="141">
        <v>0</v>
      </c>
      <c r="AN181" s="141">
        <v>0</v>
      </c>
      <c r="AO181" s="141">
        <v>0</v>
      </c>
      <c r="AP181" s="141">
        <v>0</v>
      </c>
      <c r="AQ181" s="9">
        <f t="shared" si="41"/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117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20">
        <v>0</v>
      </c>
      <c r="BQ181" s="65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16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66">
        <v>0</v>
      </c>
      <c r="CM181" s="66">
        <v>0</v>
      </c>
      <c r="CN181" s="66">
        <v>0</v>
      </c>
      <c r="CO181" s="3">
        <v>0</v>
      </c>
      <c r="CP181" s="20">
        <v>0</v>
      </c>
      <c r="CQ181" s="9">
        <v>0.1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1</v>
      </c>
      <c r="DB181" s="3">
        <v>0</v>
      </c>
      <c r="DC181" s="3">
        <v>0</v>
      </c>
      <c r="DD181" s="9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20">
        <v>0</v>
      </c>
      <c r="DQ181" s="9">
        <v>0.2</v>
      </c>
      <c r="DR181" s="3">
        <v>1</v>
      </c>
      <c r="DS181" s="3">
        <v>1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9">
        <f t="shared" si="42"/>
        <v>0.1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1</v>
      </c>
      <c r="EN181" s="3">
        <v>0</v>
      </c>
      <c r="EO181" s="3">
        <v>0</v>
      </c>
      <c r="EP181" s="3">
        <v>0</v>
      </c>
      <c r="EQ181" s="9">
        <f t="shared" si="43"/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69">
        <f t="shared" si="29"/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16">
        <v>0</v>
      </c>
      <c r="FR181" s="102"/>
      <c r="GA181" s="34"/>
    </row>
    <row r="182" spans="1:183" x14ac:dyDescent="0.25">
      <c r="A182" s="6" t="s">
        <v>159</v>
      </c>
      <c r="B182" s="68" t="s">
        <v>49</v>
      </c>
      <c r="C182" s="1" t="s">
        <v>50</v>
      </c>
      <c r="D182" s="141">
        <f t="shared" si="39"/>
        <v>1.25</v>
      </c>
      <c r="E182" s="141">
        <v>1</v>
      </c>
      <c r="F182" s="141">
        <v>2</v>
      </c>
      <c r="G182" s="141">
        <v>1</v>
      </c>
      <c r="H182" s="141">
        <v>1</v>
      </c>
      <c r="P182" s="77"/>
      <c r="Q182" s="159">
        <f t="shared" si="40"/>
        <v>1.4</v>
      </c>
      <c r="R182" s="141">
        <v>1</v>
      </c>
      <c r="S182" s="141">
        <v>1</v>
      </c>
      <c r="T182" s="141">
        <v>2</v>
      </c>
      <c r="U182" s="141">
        <v>1</v>
      </c>
      <c r="V182" s="141">
        <v>1</v>
      </c>
      <c r="W182" s="141">
        <v>3</v>
      </c>
      <c r="X182" s="141">
        <v>0</v>
      </c>
      <c r="Y182" s="141">
        <v>3</v>
      </c>
      <c r="Z182" s="141">
        <v>2</v>
      </c>
      <c r="AA182" s="141">
        <v>0</v>
      </c>
      <c r="AB182" s="141">
        <v>0</v>
      </c>
      <c r="AC182" s="154">
        <v>0</v>
      </c>
      <c r="AD182" s="159">
        <v>3.2</v>
      </c>
      <c r="AE182" s="141">
        <v>2</v>
      </c>
      <c r="AF182" s="141">
        <v>2</v>
      </c>
      <c r="AG182" s="141">
        <v>2</v>
      </c>
      <c r="AH182" s="141">
        <v>3</v>
      </c>
      <c r="AI182" s="141">
        <v>1</v>
      </c>
      <c r="AJ182" s="141">
        <v>5</v>
      </c>
      <c r="AK182" s="141">
        <v>4</v>
      </c>
      <c r="AL182" s="141">
        <v>6</v>
      </c>
      <c r="AM182" s="141">
        <v>4</v>
      </c>
      <c r="AN182" s="141">
        <v>3</v>
      </c>
      <c r="AO182" s="141">
        <v>0</v>
      </c>
      <c r="AP182" s="141">
        <v>0</v>
      </c>
      <c r="AQ182" s="9">
        <f t="shared" si="41"/>
        <v>0.4</v>
      </c>
      <c r="AR182" s="3">
        <v>1</v>
      </c>
      <c r="AS182" s="3">
        <v>0</v>
      </c>
      <c r="AT182" s="3">
        <v>0</v>
      </c>
      <c r="AU182" s="3">
        <v>1</v>
      </c>
      <c r="AV182" s="3">
        <v>0</v>
      </c>
      <c r="AW182" s="3">
        <v>0</v>
      </c>
      <c r="AX182" s="3">
        <v>0</v>
      </c>
      <c r="AY182" s="3">
        <v>0</v>
      </c>
      <c r="AZ182" s="3">
        <v>1</v>
      </c>
      <c r="BA182" s="3">
        <v>1</v>
      </c>
      <c r="BB182" s="3">
        <v>0</v>
      </c>
      <c r="BC182" s="3">
        <v>0</v>
      </c>
      <c r="BD182" s="117">
        <v>1.9</v>
      </c>
      <c r="BE182" s="3">
        <v>2</v>
      </c>
      <c r="BF182" s="3">
        <v>2</v>
      </c>
      <c r="BG182" s="3">
        <v>2</v>
      </c>
      <c r="BH182" s="3">
        <v>2</v>
      </c>
      <c r="BI182" s="3">
        <v>2</v>
      </c>
      <c r="BJ182" s="3">
        <v>2</v>
      </c>
      <c r="BK182" s="3">
        <v>2</v>
      </c>
      <c r="BL182" s="3">
        <v>2</v>
      </c>
      <c r="BM182" s="3">
        <v>1</v>
      </c>
      <c r="BN182" s="3">
        <v>2</v>
      </c>
      <c r="BO182" s="3">
        <v>0</v>
      </c>
      <c r="BP182" s="20">
        <v>0</v>
      </c>
      <c r="BQ182" s="65">
        <v>2.5</v>
      </c>
      <c r="BR182" s="3">
        <v>1</v>
      </c>
      <c r="BS182" s="3">
        <v>1</v>
      </c>
      <c r="BT182" s="3">
        <v>1</v>
      </c>
      <c r="BU182" s="3">
        <v>3</v>
      </c>
      <c r="BV182" s="3">
        <v>3</v>
      </c>
      <c r="BW182" s="3">
        <v>3</v>
      </c>
      <c r="BX182" s="3">
        <v>4</v>
      </c>
      <c r="BY182" s="3">
        <v>5</v>
      </c>
      <c r="BZ182" s="3">
        <v>3</v>
      </c>
      <c r="CA182" s="3">
        <v>1</v>
      </c>
      <c r="CB182" s="3">
        <v>0</v>
      </c>
      <c r="CC182" s="3">
        <v>0</v>
      </c>
      <c r="CD182" s="16">
        <v>1.1599999999999999</v>
      </c>
      <c r="CE182" s="3">
        <v>1</v>
      </c>
      <c r="CF182" s="3">
        <v>1</v>
      </c>
      <c r="CG182" s="3">
        <v>3</v>
      </c>
      <c r="CH182" s="3">
        <v>1</v>
      </c>
      <c r="CI182" s="3">
        <v>1</v>
      </c>
      <c r="CJ182" s="3">
        <v>1</v>
      </c>
      <c r="CK182" s="3">
        <v>1</v>
      </c>
      <c r="CL182" s="66">
        <v>0.6</v>
      </c>
      <c r="CM182" s="66">
        <v>1</v>
      </c>
      <c r="CN182" s="66">
        <v>1</v>
      </c>
      <c r="CO182" s="3">
        <v>0</v>
      </c>
      <c r="CP182" s="20">
        <v>0</v>
      </c>
      <c r="CQ182" s="9">
        <v>4</v>
      </c>
      <c r="CR182" s="3">
        <v>1</v>
      </c>
      <c r="CS182" s="3">
        <v>2</v>
      </c>
      <c r="CT182" s="3">
        <v>3</v>
      </c>
      <c r="CU182" s="3">
        <v>3</v>
      </c>
      <c r="CV182" s="3">
        <v>4</v>
      </c>
      <c r="CW182" s="3">
        <v>6</v>
      </c>
      <c r="CX182" s="3">
        <v>5</v>
      </c>
      <c r="CY182" s="3">
        <v>3</v>
      </c>
      <c r="CZ182" s="3">
        <v>5</v>
      </c>
      <c r="DA182" s="3">
        <v>5</v>
      </c>
      <c r="DB182" s="3">
        <v>2</v>
      </c>
      <c r="DC182" s="3">
        <v>1</v>
      </c>
      <c r="DD182" s="9">
        <v>4.5</v>
      </c>
      <c r="DE182" s="3">
        <v>3</v>
      </c>
      <c r="DF182" s="3">
        <v>5.6</v>
      </c>
      <c r="DG182" s="3">
        <v>3.6</v>
      </c>
      <c r="DH182" s="3">
        <v>6.6</v>
      </c>
      <c r="DI182" s="3">
        <v>5.6</v>
      </c>
      <c r="DJ182" s="3">
        <v>3</v>
      </c>
      <c r="DK182" s="3">
        <v>7.6</v>
      </c>
      <c r="DL182" s="3">
        <v>3</v>
      </c>
      <c r="DM182" s="3">
        <v>3</v>
      </c>
      <c r="DN182" s="3">
        <v>3</v>
      </c>
      <c r="DO182" s="3">
        <v>1</v>
      </c>
      <c r="DP182" s="20">
        <v>0</v>
      </c>
      <c r="DQ182" s="9">
        <v>5.5600000000000005</v>
      </c>
      <c r="DR182" s="3">
        <v>5</v>
      </c>
      <c r="DS182" s="3">
        <v>2</v>
      </c>
      <c r="DT182" s="3">
        <v>5.6</v>
      </c>
      <c r="DU182" s="3">
        <v>7</v>
      </c>
      <c r="DV182" s="3">
        <v>5</v>
      </c>
      <c r="DW182" s="3">
        <v>4</v>
      </c>
      <c r="DX182" s="3">
        <v>3</v>
      </c>
      <c r="DY182" s="3">
        <v>6</v>
      </c>
      <c r="DZ182" s="3">
        <v>3</v>
      </c>
      <c r="EA182" s="3">
        <v>6</v>
      </c>
      <c r="EB182" s="3">
        <v>4</v>
      </c>
      <c r="EC182" s="3">
        <v>5</v>
      </c>
      <c r="ED182" s="9">
        <f t="shared" si="42"/>
        <v>5.9</v>
      </c>
      <c r="EE182" s="3">
        <v>2</v>
      </c>
      <c r="EF182" s="3">
        <v>5</v>
      </c>
      <c r="EG182" s="3">
        <v>8</v>
      </c>
      <c r="EH182" s="3">
        <v>6</v>
      </c>
      <c r="EI182" s="3">
        <v>7</v>
      </c>
      <c r="EJ182" s="3">
        <v>7</v>
      </c>
      <c r="EK182" s="3">
        <v>7</v>
      </c>
      <c r="EL182" s="3">
        <v>7</v>
      </c>
      <c r="EM182" s="3">
        <v>3</v>
      </c>
      <c r="EN182" s="3">
        <v>1</v>
      </c>
      <c r="EO182" s="3">
        <v>2</v>
      </c>
      <c r="EP182" s="3">
        <v>4</v>
      </c>
      <c r="EQ182" s="9">
        <f t="shared" si="43"/>
        <v>2.9</v>
      </c>
      <c r="ER182" s="3">
        <v>3</v>
      </c>
      <c r="ES182" s="3">
        <v>4</v>
      </c>
      <c r="ET182" s="3">
        <v>5</v>
      </c>
      <c r="EU182" s="3">
        <v>4</v>
      </c>
      <c r="EV182" s="3">
        <v>1</v>
      </c>
      <c r="EW182" s="3">
        <v>3</v>
      </c>
      <c r="EX182" s="3">
        <v>2</v>
      </c>
      <c r="EY182" s="3">
        <v>2</v>
      </c>
      <c r="EZ182" s="3">
        <v>2</v>
      </c>
      <c r="FA182" s="3">
        <v>2</v>
      </c>
      <c r="FB182" s="3">
        <v>1</v>
      </c>
      <c r="FC182" s="3">
        <v>0</v>
      </c>
      <c r="FD182" s="69">
        <f t="shared" si="29"/>
        <v>3.6</v>
      </c>
      <c r="FE182" s="3">
        <v>4</v>
      </c>
      <c r="FF182" s="3">
        <v>5</v>
      </c>
      <c r="FG182" s="3">
        <v>4</v>
      </c>
      <c r="FH182" s="3">
        <v>2</v>
      </c>
      <c r="FI182" s="3">
        <v>3</v>
      </c>
      <c r="FJ182" s="3">
        <v>3</v>
      </c>
      <c r="FK182" s="3">
        <v>3</v>
      </c>
      <c r="FL182" s="3">
        <v>4</v>
      </c>
      <c r="FM182" s="3">
        <v>4</v>
      </c>
      <c r="FN182" s="3">
        <v>2</v>
      </c>
      <c r="FO182" s="3">
        <v>2</v>
      </c>
      <c r="FP182" s="3">
        <v>0</v>
      </c>
      <c r="FQ182" s="16">
        <v>3.7</v>
      </c>
      <c r="FR182" s="102"/>
      <c r="GA182" s="34"/>
    </row>
    <row r="183" spans="1:183" x14ac:dyDescent="0.25">
      <c r="A183" s="6" t="s">
        <v>159</v>
      </c>
      <c r="B183" s="68" t="s">
        <v>51</v>
      </c>
      <c r="C183" s="1" t="s">
        <v>52</v>
      </c>
      <c r="D183" s="141">
        <f t="shared" si="39"/>
        <v>1</v>
      </c>
      <c r="E183" s="141">
        <v>1</v>
      </c>
      <c r="F183" s="141">
        <v>1</v>
      </c>
      <c r="G183" s="141">
        <v>1</v>
      </c>
      <c r="H183" s="141">
        <v>1</v>
      </c>
      <c r="P183" s="77"/>
      <c r="Q183" s="159">
        <f t="shared" si="40"/>
        <v>0.9</v>
      </c>
      <c r="R183" s="141">
        <v>0</v>
      </c>
      <c r="S183" s="141">
        <v>1</v>
      </c>
      <c r="T183" s="141">
        <v>1</v>
      </c>
      <c r="U183" s="141">
        <v>1</v>
      </c>
      <c r="V183" s="141">
        <v>1</v>
      </c>
      <c r="W183" s="141">
        <v>1</v>
      </c>
      <c r="X183" s="141">
        <v>1</v>
      </c>
      <c r="Y183" s="141">
        <v>1</v>
      </c>
      <c r="Z183" s="141">
        <v>1</v>
      </c>
      <c r="AA183" s="141">
        <v>1</v>
      </c>
      <c r="AB183" s="141">
        <v>0</v>
      </c>
      <c r="AC183" s="154">
        <v>0</v>
      </c>
      <c r="AD183" s="159">
        <v>0</v>
      </c>
      <c r="AE183" s="141">
        <v>0</v>
      </c>
      <c r="AF183" s="141">
        <v>0</v>
      </c>
      <c r="AG183" s="141">
        <v>0</v>
      </c>
      <c r="AH183" s="141">
        <v>0</v>
      </c>
      <c r="AI183" s="141">
        <v>0</v>
      </c>
      <c r="AJ183" s="141">
        <v>0</v>
      </c>
      <c r="AK183" s="141">
        <v>0</v>
      </c>
      <c r="AL183" s="141">
        <v>0</v>
      </c>
      <c r="AM183" s="141">
        <v>0</v>
      </c>
      <c r="AN183" s="141">
        <v>0</v>
      </c>
      <c r="AO183" s="141">
        <v>0</v>
      </c>
      <c r="AP183" s="141">
        <v>0</v>
      </c>
      <c r="AQ183" s="9">
        <f t="shared" si="41"/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117">
        <v>0.2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1</v>
      </c>
      <c r="BO183" s="3">
        <v>0</v>
      </c>
      <c r="BP183" s="20">
        <v>1</v>
      </c>
      <c r="BQ183" s="65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16">
        <v>0.9</v>
      </c>
      <c r="CE183" s="3">
        <v>1</v>
      </c>
      <c r="CF183" s="3">
        <v>4</v>
      </c>
      <c r="CG183" s="3">
        <v>1</v>
      </c>
      <c r="CH183" s="3">
        <v>1</v>
      </c>
      <c r="CI183" s="3">
        <v>2</v>
      </c>
      <c r="CJ183" s="3">
        <v>0</v>
      </c>
      <c r="CK183" s="3">
        <v>0</v>
      </c>
      <c r="CL183" s="66">
        <v>0</v>
      </c>
      <c r="CM183" s="66">
        <v>0</v>
      </c>
      <c r="CN183" s="66">
        <v>0</v>
      </c>
      <c r="CO183" s="3">
        <v>0</v>
      </c>
      <c r="CP183" s="20">
        <v>0</v>
      </c>
      <c r="CQ183" s="9">
        <v>0.9</v>
      </c>
      <c r="CR183" s="3">
        <v>0</v>
      </c>
      <c r="CS183" s="3">
        <v>0</v>
      </c>
      <c r="CT183" s="3">
        <v>1</v>
      </c>
      <c r="CU183" s="3">
        <v>1</v>
      </c>
      <c r="CV183" s="3">
        <v>1</v>
      </c>
      <c r="CW183" s="3">
        <v>0</v>
      </c>
      <c r="CX183" s="3">
        <v>0</v>
      </c>
      <c r="CY183" s="3">
        <v>1</v>
      </c>
      <c r="CZ183" s="3">
        <v>1</v>
      </c>
      <c r="DA183" s="3">
        <v>2</v>
      </c>
      <c r="DB183" s="3">
        <v>0</v>
      </c>
      <c r="DC183" s="3">
        <v>2</v>
      </c>
      <c r="DD183" s="9">
        <v>0.5</v>
      </c>
      <c r="DE183" s="3">
        <v>0</v>
      </c>
      <c r="DF183" s="3">
        <v>1</v>
      </c>
      <c r="DG183" s="3">
        <v>1</v>
      </c>
      <c r="DH183" s="3">
        <v>1</v>
      </c>
      <c r="DI183" s="3">
        <v>1</v>
      </c>
      <c r="DJ183" s="3">
        <v>1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20">
        <v>0</v>
      </c>
      <c r="DQ183" s="9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9">
        <f t="shared" si="42"/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9">
        <f t="shared" si="43"/>
        <v>1</v>
      </c>
      <c r="ER183" s="3">
        <v>1</v>
      </c>
      <c r="ES183" s="3">
        <v>1</v>
      </c>
      <c r="ET183" s="3">
        <v>1</v>
      </c>
      <c r="EU183" s="3">
        <v>0</v>
      </c>
      <c r="EV183" s="3">
        <v>1</v>
      </c>
      <c r="EW183" s="3">
        <v>1</v>
      </c>
      <c r="EX183" s="3">
        <v>1</v>
      </c>
      <c r="EY183" s="3">
        <v>0</v>
      </c>
      <c r="EZ183" s="3">
        <v>0</v>
      </c>
      <c r="FA183" s="3">
        <v>0</v>
      </c>
      <c r="FB183" s="3">
        <v>2</v>
      </c>
      <c r="FC183" s="3">
        <v>2</v>
      </c>
      <c r="FD183" s="69">
        <f t="shared" si="29"/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16">
        <v>0</v>
      </c>
      <c r="FR183" s="102"/>
      <c r="GA183" s="34"/>
    </row>
    <row r="184" spans="1:183" x14ac:dyDescent="0.25">
      <c r="A184" s="11" t="s">
        <v>176</v>
      </c>
      <c r="B184" s="26" t="s">
        <v>210</v>
      </c>
      <c r="C184" s="7" t="s">
        <v>202</v>
      </c>
      <c r="D184" s="142">
        <f t="shared" si="39"/>
        <v>12.75</v>
      </c>
      <c r="E184" s="141">
        <v>9</v>
      </c>
      <c r="F184" s="141">
        <v>13</v>
      </c>
      <c r="G184" s="141">
        <v>15</v>
      </c>
      <c r="H184" s="141">
        <v>14</v>
      </c>
      <c r="I184" s="7"/>
      <c r="J184" s="7"/>
      <c r="K184" s="7"/>
      <c r="L184" s="7"/>
      <c r="M184" s="7"/>
      <c r="N184" s="7"/>
      <c r="O184" s="7"/>
      <c r="P184" s="179"/>
      <c r="Q184" s="160">
        <f t="shared" si="40"/>
        <v>14.484</v>
      </c>
      <c r="R184" s="142">
        <v>12</v>
      </c>
      <c r="S184" s="142">
        <v>13</v>
      </c>
      <c r="T184" s="142">
        <v>16.46</v>
      </c>
      <c r="U184" s="142">
        <v>11.46</v>
      </c>
      <c r="V184" s="142">
        <v>12</v>
      </c>
      <c r="W184" s="142">
        <v>12.46</v>
      </c>
      <c r="X184" s="142">
        <v>16.46</v>
      </c>
      <c r="Y184" s="142">
        <v>15</v>
      </c>
      <c r="Z184" s="142">
        <v>18</v>
      </c>
      <c r="AA184" s="142">
        <v>11</v>
      </c>
      <c r="AB184" s="142">
        <v>7</v>
      </c>
      <c r="AC184" s="155">
        <v>0</v>
      </c>
      <c r="AD184" s="159">
        <v>15.214999999999998</v>
      </c>
      <c r="AE184" s="141">
        <v>9</v>
      </c>
      <c r="AF184" s="141">
        <v>11</v>
      </c>
      <c r="AG184" s="141">
        <v>15.83</v>
      </c>
      <c r="AH184" s="141">
        <v>14.83</v>
      </c>
      <c r="AI184" s="141">
        <v>14.83</v>
      </c>
      <c r="AJ184" s="141">
        <v>12.83</v>
      </c>
      <c r="AK184" s="141">
        <v>16.829999999999998</v>
      </c>
      <c r="AL184" s="141">
        <v>19</v>
      </c>
      <c r="AM184" s="141">
        <v>18</v>
      </c>
      <c r="AN184" s="141">
        <v>20</v>
      </c>
      <c r="AO184" s="141">
        <v>0</v>
      </c>
      <c r="AP184" s="141">
        <v>0</v>
      </c>
      <c r="AQ184" s="9">
        <f t="shared" si="41"/>
        <v>4.4000000000000004</v>
      </c>
      <c r="AR184" s="3">
        <v>3</v>
      </c>
      <c r="AS184" s="3">
        <v>3</v>
      </c>
      <c r="AT184" s="3">
        <v>3</v>
      </c>
      <c r="AU184" s="3">
        <v>3</v>
      </c>
      <c r="AV184" s="3">
        <v>3</v>
      </c>
      <c r="AW184" s="3">
        <v>4</v>
      </c>
      <c r="AX184" s="3">
        <v>7</v>
      </c>
      <c r="AY184" s="3">
        <v>7</v>
      </c>
      <c r="AZ184" s="3">
        <v>7</v>
      </c>
      <c r="BA184" s="3">
        <v>4</v>
      </c>
      <c r="BB184" s="3">
        <v>0</v>
      </c>
      <c r="BC184" s="3">
        <v>0</v>
      </c>
      <c r="BD184" s="117">
        <v>2.5</v>
      </c>
      <c r="BE184" s="3">
        <v>1</v>
      </c>
      <c r="BF184" s="3">
        <v>1</v>
      </c>
      <c r="BG184" s="3">
        <v>2</v>
      </c>
      <c r="BH184" s="3">
        <v>2</v>
      </c>
      <c r="BI184" s="3">
        <v>3</v>
      </c>
      <c r="BJ184" s="3">
        <v>3</v>
      </c>
      <c r="BK184" s="3">
        <v>5</v>
      </c>
      <c r="BL184" s="3">
        <v>4</v>
      </c>
      <c r="BM184" s="3">
        <v>2</v>
      </c>
      <c r="BN184" s="3">
        <v>2</v>
      </c>
      <c r="BO184" s="3">
        <v>0</v>
      </c>
      <c r="BP184" s="20">
        <v>0</v>
      </c>
      <c r="BQ184" s="65">
        <v>1.1000000000000001</v>
      </c>
      <c r="BR184" s="3">
        <v>1</v>
      </c>
      <c r="BS184" s="3">
        <v>1</v>
      </c>
      <c r="BT184" s="3">
        <v>1</v>
      </c>
      <c r="BU184" s="3">
        <v>1</v>
      </c>
      <c r="BV184" s="3">
        <v>1</v>
      </c>
      <c r="BW184" s="3">
        <v>1</v>
      </c>
      <c r="BX184" s="3">
        <v>2</v>
      </c>
      <c r="BY184" s="3">
        <v>1</v>
      </c>
      <c r="BZ184" s="3">
        <v>1</v>
      </c>
      <c r="CA184" s="3">
        <v>1</v>
      </c>
      <c r="CB184" s="3">
        <v>0</v>
      </c>
      <c r="CC184" s="3">
        <v>0</v>
      </c>
      <c r="CD184" s="16">
        <v>0.5</v>
      </c>
      <c r="CE184" s="3">
        <v>1</v>
      </c>
      <c r="CF184" s="3">
        <v>2</v>
      </c>
      <c r="CG184" s="3">
        <v>1</v>
      </c>
      <c r="CH184" s="3">
        <v>0</v>
      </c>
      <c r="CI184" s="3">
        <v>0</v>
      </c>
      <c r="CJ184" s="3">
        <v>0</v>
      </c>
      <c r="CK184" s="3">
        <v>1</v>
      </c>
      <c r="CL184" s="66">
        <v>0</v>
      </c>
      <c r="CM184" s="66">
        <v>0</v>
      </c>
      <c r="CN184" s="66">
        <v>0</v>
      </c>
      <c r="CO184" s="3">
        <v>0</v>
      </c>
      <c r="CP184" s="20">
        <v>0</v>
      </c>
      <c r="CQ184" s="9">
        <v>1.1000000000000001</v>
      </c>
      <c r="CR184" s="3">
        <v>0</v>
      </c>
      <c r="CS184" s="3">
        <v>0</v>
      </c>
      <c r="CT184" s="3">
        <v>0</v>
      </c>
      <c r="CU184" s="3">
        <v>0</v>
      </c>
      <c r="CV184" s="3">
        <v>1</v>
      </c>
      <c r="CW184" s="3">
        <v>2</v>
      </c>
      <c r="CX184" s="3">
        <v>3</v>
      </c>
      <c r="CY184" s="3">
        <v>2</v>
      </c>
      <c r="CZ184" s="3">
        <v>2</v>
      </c>
      <c r="DA184" s="3">
        <v>1</v>
      </c>
      <c r="DB184" s="3">
        <v>0</v>
      </c>
      <c r="DC184" s="3">
        <v>0</v>
      </c>
      <c r="DD184" s="9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20">
        <v>0</v>
      </c>
      <c r="DQ184" s="9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9">
        <f t="shared" si="42"/>
        <v>3.44</v>
      </c>
      <c r="EE184" s="3">
        <v>5.4</v>
      </c>
      <c r="EF184" s="3">
        <v>5.4</v>
      </c>
      <c r="EG184" s="3">
        <v>5.4</v>
      </c>
      <c r="EH184" s="3">
        <v>3.6</v>
      </c>
      <c r="EI184" s="3">
        <v>5.4</v>
      </c>
      <c r="EJ184" s="3">
        <v>2.7</v>
      </c>
      <c r="EK184" s="3">
        <v>0.9</v>
      </c>
      <c r="EL184" s="3">
        <v>1.8</v>
      </c>
      <c r="EM184" s="3">
        <v>2</v>
      </c>
      <c r="EN184" s="3">
        <v>1.8</v>
      </c>
      <c r="EO184" s="3">
        <v>0</v>
      </c>
      <c r="EP184" s="3">
        <v>0</v>
      </c>
      <c r="EQ184" s="89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97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91"/>
      <c r="FR184" s="102"/>
      <c r="GA184" s="34"/>
    </row>
    <row r="185" spans="1:183" x14ac:dyDescent="0.25">
      <c r="A185" s="6"/>
      <c r="B185" s="27" t="s">
        <v>393</v>
      </c>
      <c r="C185" s="4" t="s">
        <v>394</v>
      </c>
      <c r="D185" s="137">
        <f t="shared" si="39"/>
        <v>0</v>
      </c>
      <c r="E185" s="137">
        <v>0</v>
      </c>
      <c r="F185" s="137">
        <v>0</v>
      </c>
      <c r="G185" s="137">
        <v>0</v>
      </c>
      <c r="H185" s="137">
        <v>0</v>
      </c>
      <c r="I185" s="4"/>
      <c r="J185" s="4"/>
      <c r="K185" s="4"/>
      <c r="L185" s="4"/>
      <c r="M185" s="4"/>
      <c r="N185" s="4"/>
      <c r="O185" s="4"/>
      <c r="P185" s="178"/>
      <c r="Q185" s="158">
        <f t="shared" si="40"/>
        <v>0</v>
      </c>
      <c r="R185" s="137">
        <v>0</v>
      </c>
      <c r="S185" s="137">
        <v>0</v>
      </c>
      <c r="T185" s="137">
        <v>0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7">
        <v>0</v>
      </c>
      <c r="AA185" s="137">
        <v>0</v>
      </c>
      <c r="AB185" s="137">
        <v>0</v>
      </c>
      <c r="AC185" s="140">
        <v>0</v>
      </c>
      <c r="AD185" s="158">
        <v>0</v>
      </c>
      <c r="AE185" s="137">
        <v>0</v>
      </c>
      <c r="AF185" s="137">
        <v>0</v>
      </c>
      <c r="AG185" s="137">
        <v>0</v>
      </c>
      <c r="AH185" s="137">
        <v>0</v>
      </c>
      <c r="AI185" s="137">
        <v>0</v>
      </c>
      <c r="AJ185" s="137">
        <v>0</v>
      </c>
      <c r="AK185" s="137">
        <v>0</v>
      </c>
      <c r="AL185" s="137">
        <v>0</v>
      </c>
      <c r="AM185" s="137">
        <v>0</v>
      </c>
      <c r="AN185" s="137">
        <v>0</v>
      </c>
      <c r="AO185" s="137">
        <v>0</v>
      </c>
      <c r="AP185" s="140">
        <v>0</v>
      </c>
      <c r="AQ185" s="8">
        <f t="shared" si="41"/>
        <v>0</v>
      </c>
      <c r="AR185" s="99"/>
      <c r="AS185" s="99"/>
      <c r="AT185" s="99"/>
      <c r="AU185" s="99"/>
      <c r="AV185" s="99"/>
      <c r="AW185" s="99"/>
      <c r="AX185" s="99"/>
      <c r="AY185" s="134"/>
      <c r="AZ185" s="14">
        <v>0</v>
      </c>
      <c r="BA185" s="14">
        <v>0</v>
      </c>
      <c r="BB185" s="137">
        <v>0</v>
      </c>
      <c r="BC185" s="140">
        <v>0</v>
      </c>
      <c r="BD185" s="130"/>
      <c r="BE185" s="99"/>
      <c r="BF185" s="99"/>
      <c r="BG185" s="99"/>
      <c r="BH185" s="99"/>
      <c r="BI185" s="99"/>
      <c r="BJ185" s="99"/>
      <c r="BK185" s="99"/>
      <c r="BL185" s="99"/>
      <c r="BM185" s="99"/>
      <c r="BN185" s="99"/>
      <c r="BO185" s="99"/>
      <c r="BP185" s="114"/>
      <c r="BQ185" s="131"/>
      <c r="BR185" s="99"/>
      <c r="BS185" s="99"/>
      <c r="BT185" s="99"/>
      <c r="BU185" s="99"/>
      <c r="BV185" s="99"/>
      <c r="BW185" s="99"/>
      <c r="BX185" s="99"/>
      <c r="BY185" s="99"/>
      <c r="BZ185" s="99"/>
      <c r="CA185" s="99"/>
      <c r="CB185" s="99"/>
      <c r="CC185" s="99"/>
      <c r="CD185" s="101"/>
      <c r="CE185" s="99"/>
      <c r="CF185" s="99"/>
      <c r="CG185" s="99"/>
      <c r="CH185" s="99"/>
      <c r="CI185" s="99"/>
      <c r="CJ185" s="99"/>
      <c r="CK185" s="99"/>
      <c r="CL185" s="115"/>
      <c r="CM185" s="115"/>
      <c r="CN185" s="115"/>
      <c r="CO185" s="99"/>
      <c r="CP185" s="99"/>
      <c r="CQ185" s="98"/>
      <c r="CR185" s="99"/>
      <c r="CS185" s="99"/>
      <c r="CT185" s="99"/>
      <c r="CU185" s="99"/>
      <c r="CV185" s="99"/>
      <c r="CW185" s="99"/>
      <c r="CX185" s="99"/>
      <c r="CY185" s="99"/>
      <c r="CZ185" s="99"/>
      <c r="DA185" s="99"/>
      <c r="DB185" s="99"/>
      <c r="DC185" s="99"/>
      <c r="DD185" s="98"/>
      <c r="DE185" s="99"/>
      <c r="DF185" s="99"/>
      <c r="DG185" s="99"/>
      <c r="DH185" s="99"/>
      <c r="DI185" s="99"/>
      <c r="DJ185" s="99"/>
      <c r="DK185" s="99"/>
      <c r="DL185" s="99"/>
      <c r="DM185" s="99"/>
      <c r="DN185" s="99"/>
      <c r="DO185" s="99"/>
      <c r="DP185" s="114"/>
      <c r="DQ185" s="98"/>
      <c r="DR185" s="99"/>
      <c r="DS185" s="99"/>
      <c r="DT185" s="99"/>
      <c r="DU185" s="99"/>
      <c r="DV185" s="99"/>
      <c r="DW185" s="99"/>
      <c r="DX185" s="99"/>
      <c r="DY185" s="99"/>
      <c r="DZ185" s="99"/>
      <c r="EA185" s="99"/>
      <c r="EB185" s="99"/>
      <c r="EC185" s="99"/>
      <c r="ED185" s="98"/>
      <c r="EE185" s="99"/>
      <c r="EF185" s="99"/>
      <c r="EG185" s="99"/>
      <c r="EH185" s="99"/>
      <c r="EI185" s="99"/>
      <c r="EJ185" s="99"/>
      <c r="EK185" s="99"/>
      <c r="EL185" s="99"/>
      <c r="EM185" s="99"/>
      <c r="EN185" s="99"/>
      <c r="EO185" s="99"/>
      <c r="EP185" s="99"/>
      <c r="EQ185" s="98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00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01"/>
      <c r="FR185" s="108"/>
      <c r="GA185" s="34"/>
    </row>
    <row r="186" spans="1:183" x14ac:dyDescent="0.25">
      <c r="A186" s="6" t="s">
        <v>160</v>
      </c>
      <c r="B186" s="25" t="s">
        <v>139</v>
      </c>
      <c r="C186" s="1" t="s">
        <v>135</v>
      </c>
      <c r="D186" s="141">
        <f t="shared" si="39"/>
        <v>101.5</v>
      </c>
      <c r="E186" s="141">
        <v>35</v>
      </c>
      <c r="F186" s="141">
        <v>96</v>
      </c>
      <c r="G186" s="141">
        <v>118</v>
      </c>
      <c r="H186" s="141">
        <v>157</v>
      </c>
      <c r="P186" s="77"/>
      <c r="Q186" s="159">
        <f t="shared" si="40"/>
        <v>127.678</v>
      </c>
      <c r="R186" s="141">
        <v>113</v>
      </c>
      <c r="S186" s="141">
        <v>121</v>
      </c>
      <c r="T186" s="141">
        <v>131</v>
      </c>
      <c r="U186" s="141">
        <v>133</v>
      </c>
      <c r="V186" s="141">
        <v>112</v>
      </c>
      <c r="W186" s="141">
        <v>150</v>
      </c>
      <c r="X186" s="141">
        <v>124</v>
      </c>
      <c r="Y186" s="141">
        <v>129.78</v>
      </c>
      <c r="Z186" s="141">
        <v>138</v>
      </c>
      <c r="AA186" s="141">
        <v>125</v>
      </c>
      <c r="AB186" s="141">
        <v>0</v>
      </c>
      <c r="AC186" s="154">
        <v>0</v>
      </c>
      <c r="AD186" s="159">
        <v>111</v>
      </c>
      <c r="AE186" s="141">
        <v>143</v>
      </c>
      <c r="AF186" s="141">
        <v>108</v>
      </c>
      <c r="AG186" s="141">
        <v>115</v>
      </c>
      <c r="AH186" s="141">
        <v>91</v>
      </c>
      <c r="AI186" s="141">
        <v>105</v>
      </c>
      <c r="AJ186" s="141">
        <v>101</v>
      </c>
      <c r="AK186" s="141">
        <v>109</v>
      </c>
      <c r="AL186" s="141">
        <v>112</v>
      </c>
      <c r="AM186" s="141">
        <v>110</v>
      </c>
      <c r="AN186" s="141">
        <v>116</v>
      </c>
      <c r="AO186" s="141">
        <v>0</v>
      </c>
      <c r="AP186" s="154">
        <v>0</v>
      </c>
      <c r="AQ186" s="9">
        <f t="shared" si="41"/>
        <v>70.3</v>
      </c>
      <c r="AR186" s="3">
        <v>85</v>
      </c>
      <c r="AS186" s="3">
        <v>80</v>
      </c>
      <c r="AT186" s="3">
        <v>68</v>
      </c>
      <c r="AU186" s="3">
        <v>49</v>
      </c>
      <c r="AV186" s="3">
        <v>58</v>
      </c>
      <c r="AW186" s="3">
        <v>76</v>
      </c>
      <c r="AX186" s="3">
        <v>72</v>
      </c>
      <c r="AY186" s="3">
        <v>70</v>
      </c>
      <c r="AZ186" s="3">
        <v>78</v>
      </c>
      <c r="BA186" s="3">
        <v>67</v>
      </c>
      <c r="BB186" s="3">
        <v>0</v>
      </c>
      <c r="BC186" s="20">
        <v>0</v>
      </c>
      <c r="BD186" s="117">
        <v>47.9</v>
      </c>
      <c r="BE186" s="3">
        <v>39</v>
      </c>
      <c r="BF186" s="3">
        <v>44</v>
      </c>
      <c r="BG186" s="3">
        <v>52</v>
      </c>
      <c r="BH186" s="3">
        <v>51</v>
      </c>
      <c r="BI186" s="3">
        <v>48</v>
      </c>
      <c r="BJ186" s="3">
        <v>43</v>
      </c>
      <c r="BK186" s="3">
        <v>50</v>
      </c>
      <c r="BL186" s="3">
        <v>56</v>
      </c>
      <c r="BM186" s="3">
        <v>48</v>
      </c>
      <c r="BN186" s="3">
        <v>48</v>
      </c>
      <c r="BO186" s="3">
        <v>0</v>
      </c>
      <c r="BP186" s="20">
        <v>0</v>
      </c>
      <c r="BQ186" s="65">
        <v>56.335000000000001</v>
      </c>
      <c r="BR186" s="3">
        <v>85</v>
      </c>
      <c r="BS186" s="3">
        <v>56</v>
      </c>
      <c r="BT186" s="3">
        <v>59</v>
      </c>
      <c r="BU186" s="3">
        <v>51</v>
      </c>
      <c r="BV186" s="3">
        <v>46</v>
      </c>
      <c r="BW186" s="3">
        <v>55</v>
      </c>
      <c r="BX186" s="3">
        <v>52.35</v>
      </c>
      <c r="BY186" s="3">
        <v>55</v>
      </c>
      <c r="BZ186" s="3">
        <v>51</v>
      </c>
      <c r="CA186" s="3">
        <v>53</v>
      </c>
      <c r="CB186" s="3">
        <v>0</v>
      </c>
      <c r="CC186" s="3">
        <v>0</v>
      </c>
      <c r="CD186" s="16">
        <v>86.405000000000001</v>
      </c>
      <c r="CE186" s="3">
        <v>75</v>
      </c>
      <c r="CF186" s="3">
        <v>75</v>
      </c>
      <c r="CG186" s="3">
        <v>107</v>
      </c>
      <c r="CH186" s="3">
        <v>90</v>
      </c>
      <c r="CI186" s="3">
        <v>81</v>
      </c>
      <c r="CJ186" s="3">
        <v>88</v>
      </c>
      <c r="CK186" s="3">
        <v>103</v>
      </c>
      <c r="CL186" s="66">
        <v>83.54</v>
      </c>
      <c r="CM186" s="66">
        <v>86.88</v>
      </c>
      <c r="CN186" s="66">
        <v>74.63</v>
      </c>
      <c r="CO186" s="3">
        <v>0</v>
      </c>
      <c r="CP186" s="3">
        <v>0</v>
      </c>
      <c r="CQ186" s="9">
        <v>77.426000000000002</v>
      </c>
      <c r="CR186" s="3">
        <v>60.66</v>
      </c>
      <c r="CS186" s="3">
        <v>68.599999999999994</v>
      </c>
      <c r="CT186" s="3">
        <v>83</v>
      </c>
      <c r="CU186" s="3">
        <v>98</v>
      </c>
      <c r="CV186" s="3">
        <v>82</v>
      </c>
      <c r="CW186" s="3">
        <v>83</v>
      </c>
      <c r="CX186" s="3">
        <v>79</v>
      </c>
      <c r="CY186" s="3">
        <v>75</v>
      </c>
      <c r="CZ186" s="3">
        <v>78</v>
      </c>
      <c r="DA186" s="3">
        <v>67</v>
      </c>
      <c r="DB186" s="3">
        <v>0</v>
      </c>
      <c r="DC186" s="3">
        <v>0</v>
      </c>
      <c r="DD186" s="9">
        <v>81.3</v>
      </c>
      <c r="DE186" s="3">
        <v>68</v>
      </c>
      <c r="DF186" s="3">
        <v>92</v>
      </c>
      <c r="DG186" s="3">
        <v>90</v>
      </c>
      <c r="DH186" s="3">
        <v>99</v>
      </c>
      <c r="DI186" s="3">
        <v>79</v>
      </c>
      <c r="DJ186" s="3">
        <v>79</v>
      </c>
      <c r="DK186" s="3">
        <v>86</v>
      </c>
      <c r="DL186" s="3">
        <v>79</v>
      </c>
      <c r="DM186" s="3">
        <v>71</v>
      </c>
      <c r="DN186" s="3">
        <v>70</v>
      </c>
      <c r="DO186" s="3">
        <v>0</v>
      </c>
      <c r="DP186" s="20">
        <v>0</v>
      </c>
      <c r="DQ186" s="9">
        <v>83.52</v>
      </c>
      <c r="DR186" s="3">
        <v>88</v>
      </c>
      <c r="DS186" s="3">
        <v>96</v>
      </c>
      <c r="DT186" s="3">
        <v>89</v>
      </c>
      <c r="DU186" s="3">
        <v>64.400000000000006</v>
      </c>
      <c r="DV186" s="3">
        <v>71.2</v>
      </c>
      <c r="DW186" s="3">
        <v>73.599999999999994</v>
      </c>
      <c r="DX186" s="3">
        <v>98.6</v>
      </c>
      <c r="DY186" s="3">
        <v>91.4</v>
      </c>
      <c r="DZ186" s="3">
        <v>84</v>
      </c>
      <c r="EA186" s="3">
        <v>79</v>
      </c>
      <c r="EB186" s="3">
        <v>0</v>
      </c>
      <c r="EC186" s="3">
        <v>0</v>
      </c>
      <c r="ED186" s="9">
        <f t="shared" si="42"/>
        <v>59.427999999999997</v>
      </c>
      <c r="EE186" s="3">
        <v>59</v>
      </c>
      <c r="EF186" s="3">
        <v>59.4</v>
      </c>
      <c r="EG186" s="3">
        <v>58.93</v>
      </c>
      <c r="EH186" s="3">
        <v>57.93</v>
      </c>
      <c r="EI186" s="3">
        <v>50</v>
      </c>
      <c r="EJ186" s="3">
        <v>69.400000000000006</v>
      </c>
      <c r="EK186" s="3">
        <v>47.54</v>
      </c>
      <c r="EL186" s="3">
        <v>53.2</v>
      </c>
      <c r="EM186" s="3">
        <v>73.34</v>
      </c>
      <c r="EN186" s="3">
        <v>65.540000000000006</v>
      </c>
      <c r="EO186" s="3">
        <v>0</v>
      </c>
      <c r="EP186" s="3">
        <v>0</v>
      </c>
      <c r="EQ186" s="9">
        <f>+IFERROR((SUM(ER186:FC186)/10),0)</f>
        <v>31.18</v>
      </c>
      <c r="ER186" s="3">
        <v>6</v>
      </c>
      <c r="ES186" s="3">
        <v>8</v>
      </c>
      <c r="ET186" s="3">
        <v>25</v>
      </c>
      <c r="EU186" s="3">
        <v>34.200000000000003</v>
      </c>
      <c r="EV186" s="3">
        <v>43</v>
      </c>
      <c r="EW186" s="3">
        <v>48.6</v>
      </c>
      <c r="EX186" s="3">
        <v>47.8</v>
      </c>
      <c r="EY186" s="3">
        <v>36</v>
      </c>
      <c r="EZ186" s="3">
        <v>35.799999999999997</v>
      </c>
      <c r="FA186" s="3">
        <v>27.4</v>
      </c>
      <c r="FB186" s="3">
        <v>0</v>
      </c>
      <c r="FC186" s="3">
        <v>0</v>
      </c>
      <c r="FD186" s="97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102"/>
      <c r="FR186" s="102"/>
      <c r="GA186" s="34"/>
    </row>
    <row r="187" spans="1:183" ht="15.75" thickBot="1" x14ac:dyDescent="0.3">
      <c r="A187" s="84" t="s">
        <v>250</v>
      </c>
      <c r="B187" s="26" t="s">
        <v>255</v>
      </c>
      <c r="C187" s="7" t="s">
        <v>256</v>
      </c>
      <c r="D187" s="142">
        <f t="shared" si="39"/>
        <v>16.5</v>
      </c>
      <c r="E187" s="142">
        <v>6</v>
      </c>
      <c r="F187" s="142">
        <v>17</v>
      </c>
      <c r="G187" s="142">
        <v>17</v>
      </c>
      <c r="H187" s="142">
        <v>26</v>
      </c>
      <c r="I187" s="7"/>
      <c r="J187" s="7"/>
      <c r="K187" s="7"/>
      <c r="L187" s="7"/>
      <c r="M187" s="7"/>
      <c r="N187" s="7"/>
      <c r="O187" s="7"/>
      <c r="P187" s="179"/>
      <c r="Q187" s="160">
        <f t="shared" si="40"/>
        <v>27.5</v>
      </c>
      <c r="R187" s="142">
        <v>24</v>
      </c>
      <c r="S187" s="142">
        <v>21</v>
      </c>
      <c r="T187" s="142">
        <v>23</v>
      </c>
      <c r="U187" s="142">
        <v>29</v>
      </c>
      <c r="V187" s="142">
        <v>21</v>
      </c>
      <c r="W187" s="142">
        <v>20</v>
      </c>
      <c r="X187" s="142">
        <v>29</v>
      </c>
      <c r="Y187" s="142">
        <v>28</v>
      </c>
      <c r="Z187" s="142">
        <v>30</v>
      </c>
      <c r="AA187" s="142">
        <v>26</v>
      </c>
      <c r="AB187" s="142">
        <v>16</v>
      </c>
      <c r="AC187" s="155">
        <v>8</v>
      </c>
      <c r="AD187" s="160">
        <v>34.9</v>
      </c>
      <c r="AE187" s="142">
        <v>28</v>
      </c>
      <c r="AF187" s="142">
        <v>29</v>
      </c>
      <c r="AG187" s="142">
        <v>34</v>
      </c>
      <c r="AH187" s="142">
        <v>31</v>
      </c>
      <c r="AI187" s="142">
        <v>30</v>
      </c>
      <c r="AJ187" s="142">
        <v>31</v>
      </c>
      <c r="AK187" s="142">
        <v>30</v>
      </c>
      <c r="AL187" s="142">
        <v>33</v>
      </c>
      <c r="AM187" s="142">
        <v>31</v>
      </c>
      <c r="AN187" s="142">
        <v>30</v>
      </c>
      <c r="AO187" s="142">
        <v>22</v>
      </c>
      <c r="AP187" s="155">
        <v>20</v>
      </c>
      <c r="AQ187" s="10">
        <f t="shared" si="41"/>
        <v>34.799999999999997</v>
      </c>
      <c r="AR187" s="15">
        <v>16</v>
      </c>
      <c r="AS187" s="15">
        <v>22</v>
      </c>
      <c r="AT187" s="15">
        <v>28</v>
      </c>
      <c r="AU187" s="15">
        <v>26</v>
      </c>
      <c r="AV187" s="15">
        <v>29</v>
      </c>
      <c r="AW187" s="15">
        <v>32</v>
      </c>
      <c r="AX187" s="15">
        <v>35</v>
      </c>
      <c r="AY187" s="15">
        <v>37</v>
      </c>
      <c r="AZ187" s="15">
        <v>37</v>
      </c>
      <c r="BA187" s="15">
        <v>35</v>
      </c>
      <c r="BB187" s="15">
        <v>29</v>
      </c>
      <c r="BC187" s="21">
        <v>22</v>
      </c>
      <c r="BD187" s="118">
        <v>24.5</v>
      </c>
      <c r="BE187" s="15">
        <v>10</v>
      </c>
      <c r="BF187" s="15">
        <v>15</v>
      </c>
      <c r="BG187" s="15">
        <v>22</v>
      </c>
      <c r="BH187" s="15">
        <v>25</v>
      </c>
      <c r="BI187" s="15">
        <v>17</v>
      </c>
      <c r="BJ187" s="15">
        <v>16</v>
      </c>
      <c r="BK187" s="15">
        <v>22</v>
      </c>
      <c r="BL187" s="15">
        <v>27</v>
      </c>
      <c r="BM187" s="15">
        <v>27</v>
      </c>
      <c r="BN187" s="15">
        <v>26</v>
      </c>
      <c r="BO187" s="15">
        <v>22</v>
      </c>
      <c r="BP187" s="21">
        <v>16</v>
      </c>
      <c r="BQ187" s="73">
        <v>21.68</v>
      </c>
      <c r="BR187" s="15">
        <v>22</v>
      </c>
      <c r="BS187" s="15">
        <v>19</v>
      </c>
      <c r="BT187" s="15">
        <v>21</v>
      </c>
      <c r="BU187" s="15">
        <v>20</v>
      </c>
      <c r="BV187" s="15">
        <v>15.6</v>
      </c>
      <c r="BW187" s="15">
        <v>19.600000000000001</v>
      </c>
      <c r="BX187" s="15">
        <v>19</v>
      </c>
      <c r="BY187" s="15">
        <v>12.6</v>
      </c>
      <c r="BZ187" s="15">
        <v>15</v>
      </c>
      <c r="CA187" s="15">
        <v>19</v>
      </c>
      <c r="CB187" s="15">
        <v>23</v>
      </c>
      <c r="CC187" s="15">
        <v>11</v>
      </c>
      <c r="CD187" s="18">
        <v>24.877000000000002</v>
      </c>
      <c r="CE187" s="15">
        <v>8</v>
      </c>
      <c r="CF187" s="15">
        <v>15</v>
      </c>
      <c r="CG187" s="15">
        <v>18</v>
      </c>
      <c r="CH187" s="15">
        <v>14</v>
      </c>
      <c r="CI187" s="15">
        <v>21</v>
      </c>
      <c r="CJ187" s="15">
        <v>23</v>
      </c>
      <c r="CK187" s="15">
        <v>22</v>
      </c>
      <c r="CL187" s="74">
        <v>37.380000000000003</v>
      </c>
      <c r="CM187" s="74">
        <v>27.8</v>
      </c>
      <c r="CN187" s="74">
        <v>32.590000000000003</v>
      </c>
      <c r="CO187" s="15">
        <v>16</v>
      </c>
      <c r="CP187" s="15">
        <v>14</v>
      </c>
      <c r="CQ187" s="10">
        <v>15.479999999999999</v>
      </c>
      <c r="CR187" s="15">
        <v>9</v>
      </c>
      <c r="CS187" s="15">
        <v>11</v>
      </c>
      <c r="CT187" s="15">
        <v>14</v>
      </c>
      <c r="CU187" s="15">
        <v>17.600000000000001</v>
      </c>
      <c r="CV187" s="15">
        <v>15.6</v>
      </c>
      <c r="CW187" s="15">
        <v>15</v>
      </c>
      <c r="CX187" s="15">
        <v>9.6</v>
      </c>
      <c r="CY187" s="15">
        <v>15.6</v>
      </c>
      <c r="CZ187" s="15">
        <v>11.6</v>
      </c>
      <c r="DA187" s="15">
        <v>13.6</v>
      </c>
      <c r="DB187" s="15">
        <v>11.6</v>
      </c>
      <c r="DC187" s="15">
        <v>10.6</v>
      </c>
      <c r="DD187" s="10">
        <v>14.780000000000001</v>
      </c>
      <c r="DE187" s="15">
        <v>7</v>
      </c>
      <c r="DF187" s="15">
        <v>7.6</v>
      </c>
      <c r="DG187" s="15">
        <v>8.6</v>
      </c>
      <c r="DH187" s="15">
        <v>8.6</v>
      </c>
      <c r="DI187" s="15">
        <v>8</v>
      </c>
      <c r="DJ187" s="15">
        <v>13</v>
      </c>
      <c r="DK187" s="15">
        <v>18</v>
      </c>
      <c r="DL187" s="15">
        <v>19</v>
      </c>
      <c r="DM187" s="15">
        <v>17</v>
      </c>
      <c r="DN187" s="15">
        <v>17</v>
      </c>
      <c r="DO187" s="15">
        <v>16</v>
      </c>
      <c r="DP187" s="21">
        <v>8</v>
      </c>
      <c r="DQ187" s="10">
        <v>3</v>
      </c>
      <c r="DR187" s="76"/>
      <c r="DS187" s="76"/>
      <c r="DT187" s="76"/>
      <c r="DU187" s="76"/>
      <c r="DV187" s="15">
        <v>0</v>
      </c>
      <c r="DW187" s="15">
        <v>0</v>
      </c>
      <c r="DX187" s="15">
        <v>5</v>
      </c>
      <c r="DY187" s="15">
        <v>9</v>
      </c>
      <c r="DZ187" s="15">
        <v>7</v>
      </c>
      <c r="EA187" s="15">
        <v>4</v>
      </c>
      <c r="EB187" s="15">
        <v>3</v>
      </c>
      <c r="EC187" s="15">
        <v>2</v>
      </c>
      <c r="ED187" s="104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21"/>
      <c r="EQ187" s="104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06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03"/>
      <c r="FR187" s="103"/>
      <c r="GA187" s="34"/>
    </row>
    <row r="188" spans="1:183" ht="5.0999999999999996" customHeight="1" x14ac:dyDescent="0.25">
      <c r="A188" s="85"/>
      <c r="B188" s="5"/>
      <c r="CN188" s="13"/>
      <c r="FC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</row>
    <row r="189" spans="1:183" x14ac:dyDescent="0.25">
      <c r="CN189" s="13"/>
      <c r="ES189" s="51"/>
      <c r="FC189" s="3"/>
      <c r="FF189" s="1"/>
    </row>
    <row r="190" spans="1:183" x14ac:dyDescent="0.25">
      <c r="CN190" s="13"/>
      <c r="FC190" s="3"/>
    </row>
    <row r="191" spans="1:183" x14ac:dyDescent="0.25">
      <c r="CN191" s="13"/>
      <c r="FC191" s="3"/>
    </row>
    <row r="192" spans="1:183" x14ac:dyDescent="0.25">
      <c r="CN192" s="13"/>
      <c r="FC192" s="3"/>
      <c r="FF192" s="1"/>
    </row>
    <row r="193" spans="89:162" ht="9.9499999999999993" customHeight="1" x14ac:dyDescent="0.25">
      <c r="CN193" s="13"/>
      <c r="FC193" s="3"/>
      <c r="FF193" s="1"/>
    </row>
    <row r="194" spans="89:162" x14ac:dyDescent="0.25">
      <c r="CN194" s="13"/>
      <c r="FC194" s="3"/>
      <c r="FF194" s="1"/>
    </row>
    <row r="195" spans="89:162" x14ac:dyDescent="0.25">
      <c r="CN195" s="13"/>
      <c r="FC195" s="3"/>
    </row>
    <row r="196" spans="89:162" x14ac:dyDescent="0.25">
      <c r="CN196" s="13"/>
      <c r="FC196" s="3"/>
    </row>
    <row r="197" spans="89:162" x14ac:dyDescent="0.25">
      <c r="CK197" s="34"/>
      <c r="CN197" s="13"/>
      <c r="FC197" s="3"/>
    </row>
    <row r="198" spans="89:162" x14ac:dyDescent="0.25">
      <c r="CN198" s="13"/>
      <c r="FC198" s="3"/>
    </row>
    <row r="199" spans="89:162" x14ac:dyDescent="0.25">
      <c r="CN199" s="13"/>
      <c r="FC199" s="3"/>
    </row>
    <row r="200" spans="89:162" x14ac:dyDescent="0.25">
      <c r="CN200" s="13"/>
      <c r="FC200" s="3"/>
    </row>
    <row r="201" spans="89:162" x14ac:dyDescent="0.25">
      <c r="CN201" s="13"/>
      <c r="FC201" s="3"/>
    </row>
    <row r="202" spans="89:162" x14ac:dyDescent="0.25">
      <c r="CN202" s="13"/>
      <c r="FC202" s="3"/>
    </row>
    <row r="203" spans="89:162" x14ac:dyDescent="0.25">
      <c r="CN203" s="13"/>
      <c r="FC203" s="3"/>
    </row>
    <row r="204" spans="89:162" x14ac:dyDescent="0.25">
      <c r="CN204" s="13"/>
      <c r="FC204" s="3"/>
    </row>
    <row r="205" spans="89:162" x14ac:dyDescent="0.25">
      <c r="CN205" s="13"/>
      <c r="FC205" s="3"/>
    </row>
    <row r="206" spans="89:162" x14ac:dyDescent="0.25">
      <c r="CN206" s="13"/>
      <c r="FC206" s="3"/>
    </row>
    <row r="207" spans="89:162" x14ac:dyDescent="0.25">
      <c r="CN207" s="13"/>
      <c r="FC207" s="3"/>
    </row>
    <row r="208" spans="89:162" x14ac:dyDescent="0.25">
      <c r="CN208" s="13"/>
      <c r="FC208" s="3"/>
    </row>
    <row r="209" spans="92:159" x14ac:dyDescent="0.25">
      <c r="CN209" s="13"/>
      <c r="FC209" s="3"/>
    </row>
    <row r="210" spans="92:159" x14ac:dyDescent="0.25">
      <c r="CN210" s="13"/>
      <c r="FC210" s="3"/>
    </row>
    <row r="211" spans="92:159" x14ac:dyDescent="0.25">
      <c r="CN211" s="13"/>
      <c r="FC211" s="3"/>
    </row>
    <row r="212" spans="92:159" x14ac:dyDescent="0.25">
      <c r="CN212" s="13"/>
      <c r="FC212" s="3"/>
    </row>
    <row r="213" spans="92:159" x14ac:dyDescent="0.25">
      <c r="CN213" s="13"/>
      <c r="FC213" s="3"/>
    </row>
    <row r="214" spans="92:159" x14ac:dyDescent="0.25">
      <c r="CN214" s="13"/>
      <c r="FC214" s="3"/>
    </row>
    <row r="215" spans="92:159" x14ac:dyDescent="0.25">
      <c r="CN215" s="13"/>
      <c r="FC215" s="3"/>
    </row>
    <row r="216" spans="92:159" x14ac:dyDescent="0.25">
      <c r="CN216" s="13"/>
      <c r="FC216" s="3"/>
    </row>
    <row r="217" spans="92:159" x14ac:dyDescent="0.25">
      <c r="CN217" s="13"/>
      <c r="FC217" s="3"/>
    </row>
    <row r="218" spans="92:159" x14ac:dyDescent="0.25">
      <c r="FC218" s="3"/>
    </row>
    <row r="219" spans="92:159" x14ac:dyDescent="0.25">
      <c r="FC219" s="3"/>
    </row>
    <row r="220" spans="92:159" x14ac:dyDescent="0.25">
      <c r="FC220" s="3"/>
    </row>
    <row r="221" spans="92:159" x14ac:dyDescent="0.25">
      <c r="FC221" s="3"/>
    </row>
    <row r="222" spans="92:159" x14ac:dyDescent="0.25">
      <c r="FC222" s="3"/>
    </row>
    <row r="223" spans="92:159" x14ac:dyDescent="0.25">
      <c r="FC223" s="3"/>
    </row>
    <row r="224" spans="92:159" x14ac:dyDescent="0.25">
      <c r="FC224" s="3"/>
    </row>
  </sheetData>
  <autoFilter ref="A6:FR187" xr:uid="{00000000-0009-0000-0000-000000000000}"/>
  <sortState xmlns:xlrd2="http://schemas.microsoft.com/office/spreadsheetml/2017/richdata2" ref="A7:CO80">
    <sortCondition ref="C7:C80"/>
  </sortState>
  <mergeCells count="1">
    <mergeCell ref="A4:A5"/>
  </mergeCells>
  <pageMargins left="0.25" right="0.25" top="0.2" bottom="0.2" header="0.3" footer="0.3"/>
  <pageSetup scale="37" fitToHeight="0" orientation="portrait" r:id="rId1"/>
  <ignoredErrors>
    <ignoredError sqref="FH6" formula="1"/>
    <ignoredError sqref="FD7:FD8 FD140 FD179:FD183 FD166:FD167 FD157 FD145:FD147 FD59 FD123 FD50 FD88 FD102 FD44:FD45 FD29 FD15:FD17 FD80 FD23:FD25 FD71 FD135 FD93:FD95 FD106 FD115:FD116 FD48 FD65 FD153 FD163 FD160 FD176:FD177 FD109:FD113 FD56 FD78 FD151 FD1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McLean</dc:creator>
  <cp:lastModifiedBy>Becky McLean</cp:lastModifiedBy>
  <cp:lastPrinted>2025-06-12T21:32:25Z</cp:lastPrinted>
  <dcterms:created xsi:type="dcterms:W3CDTF">2013-08-28T15:06:06Z</dcterms:created>
  <dcterms:modified xsi:type="dcterms:W3CDTF">2025-12-17T17:06:16Z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45f431-4c8c-42c6-a5a5-ba6d3bdea585_Enabled">
    <vt:lpwstr>true</vt:lpwstr>
  </property>
  <property fmtid="{D5CDD505-2E9C-101B-9397-08002B2CF9AE}" pid="3" name="MSIP_Label_9145f431-4c8c-42c6-a5a5-ba6d3bdea585_SetDate">
    <vt:lpwstr>2024-06-17T21:11:41Z</vt:lpwstr>
  </property>
  <property fmtid="{D5CDD505-2E9C-101B-9397-08002B2CF9AE}" pid="4" name="MSIP_Label_9145f431-4c8c-42c6-a5a5-ba6d3bdea585_Method">
    <vt:lpwstr>Standard</vt:lpwstr>
  </property>
  <property fmtid="{D5CDD505-2E9C-101B-9397-08002B2CF9AE}" pid="5" name="MSIP_Label_9145f431-4c8c-42c6-a5a5-ba6d3bdea585_Name">
    <vt:lpwstr>defa4170-0d19-0005-0004-bc88714345d2</vt:lpwstr>
  </property>
  <property fmtid="{D5CDD505-2E9C-101B-9397-08002B2CF9AE}" pid="6" name="MSIP_Label_9145f431-4c8c-42c6-a5a5-ba6d3bdea585_SiteId">
    <vt:lpwstr>b2fe5ccf-10a5-46fe-ae45-a0267412af7a</vt:lpwstr>
  </property>
  <property fmtid="{D5CDD505-2E9C-101B-9397-08002B2CF9AE}" pid="7" name="MSIP_Label_9145f431-4c8c-42c6-a5a5-ba6d3bdea585_ActionId">
    <vt:lpwstr>ce7ee735-ea2a-45ad-a5b6-e5f5b512a18f</vt:lpwstr>
  </property>
  <property fmtid="{D5CDD505-2E9C-101B-9397-08002B2CF9AE}" pid="8" name="MSIP_Label_9145f431-4c8c-42c6-a5a5-ba6d3bdea585_ContentBits">
    <vt:lpwstr>0</vt:lpwstr>
  </property>
</Properties>
</file>